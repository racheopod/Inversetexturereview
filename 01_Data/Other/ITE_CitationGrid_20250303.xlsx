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rache\Dropbox\Doctoral_projects\Projects\Inverse_texture\05_Data_Analysis\Part1_Review\01_Data\"/>
    </mc:Choice>
  </mc:AlternateContent>
  <xr:revisionPtr revIDLastSave="0" documentId="8_{C6F27C8E-7022-4223-BFBB-8F69234DAA3E}" xr6:coauthVersionLast="47" xr6:coauthVersionMax="47" xr10:uidLastSave="{00000000-0000-0000-0000-000000000000}"/>
  <bookViews>
    <workbookView xWindow="-90" yWindow="-90" windowWidth="19380" windowHeight="10980" xr2:uid="{0F9947BD-8DC1-425E-A053-044417486ADC}"/>
  </bookViews>
  <sheets>
    <sheet name="Sheet1" sheetId="1" r:id="rId1"/>
    <sheet name="Sheet2" sheetId="2" r:id="rId2"/>
    <sheet name="Sheet3"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a="1"/>
  <c r="C2" i="3" s="1"/>
  <c r="D2" i="3" s="1"/>
  <c r="I32" i="1"/>
  <c r="E2" i="3" l="1"/>
  <c r="D6" i="3"/>
  <c r="E6" i="3" s="1"/>
  <c r="D5" i="3"/>
  <c r="E5" i="3" s="1"/>
  <c r="D3" i="3"/>
  <c r="E3" i="3" s="1"/>
  <c r="D4" i="3"/>
  <c r="E4" i="3" s="1"/>
  <c r="D7"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<sst xmlns="http://schemas.openxmlformats.org/spreadsheetml/2006/main" count="267" uniqueCount="196">
  <si>
    <t>Citation</t>
  </si>
  <si>
    <t>DOI</t>
  </si>
  <si>
    <t>Research Aim/questions/hypotheses</t>
  </si>
  <si>
    <t>Major methods</t>
  </si>
  <si>
    <t>Results</t>
  </si>
  <si>
    <t>Cited sources to follow up on</t>
  </si>
  <si>
    <t>Analysis, questions, connections, and reflections</t>
  </si>
  <si>
    <t>Sala, O.E., Parton, W.J., Joyce, L.A., Lauenroth, W.K., 1988. Primary Production of the Central Grassland Region of the United States. Ecology 69, 40–45. https://doi.org/10.2307/1943158</t>
  </si>
  <si>
    <t>https://doi.org/10.2307/1943158</t>
  </si>
  <si>
    <t>Year</t>
  </si>
  <si>
    <t>Begzsuren, S., 2007. Integrated desertification assessment in Southern Mongolia (Thesis). Universitäts- und Landesbibliothek Bonn.</t>
  </si>
  <si>
    <t>Bucini, G., Hanan, N.P., 2007. A continental‐scale analysis of tree cover in African savannas. Global Ecology and Biogeography 16, 593–605. https://doi.org/10.1111/j.1466-8238.2007.00325.x</t>
  </si>
  <si>
    <t>Buyantuyev, A., Wu, J., 2009. Urbanization alters spatiotemporal patterns of ecosystem primary production: A case study of the Phoenix metropolitan region, USA. Journal of Arid Environments 73, 512–520.</t>
  </si>
  <si>
    <t>Caylor, K.K., Scanlon, T.M., Rodriguez‐Iturbe, I., 2009. Ecohydrological optimization of pattern and processes in water‐limited ecosystems: A trade‐off‐based hypothesis. Water Resources Research 45, 2008WR007230. https://doi.org/10.1029/2008WR007230</t>
  </si>
  <si>
    <t>Curran, T.J., Clarke, P.J., Warwick, N.W., 2010. Water relations of woody plants on contrasting soils during drought: does edaphic compensation account for dry rainforest distribution? Australian Journal of Botany 57, 629–639.</t>
  </si>
  <si>
    <t>Epstein, H.E., Lauenroth, W.K., Burke, I.C., 1997. EFFECTS OF TEMPERATURE AND SOIL TEXTURE ON ANPP IN THE U.S. GREAT PLAINS. Ecology 78, 2628–2631. https://doi.org/10.1890/0012-9658(1997)078[2628:EOTAST]2.0.CO;2</t>
  </si>
  <si>
    <t>Fensham, R.J., Butler, D.W., Foley, J., 2015. How does clay constrain woody biomass in drylands? Global Ecology and Biogeography 24, 950–958. https://doi.org/10.1111/geb.12319</t>
  </si>
  <si>
    <t>Fernandez‐Illescas, C.P., Porporato, A., Laio, F., Rodriguez‐Iturbe, I., 2001. The ecohydrological role of soil texture in a water‐limited ecosystem. Water Resources Research 37, 2863–2872. https://doi.org/10.1029/2000WR000121</t>
  </si>
  <si>
    <t>Gao, X., Li, F.Y., 2023. The inverse texture effect of soil on vegetation in temperate grasslands of China: Benchmarking soil texture effect. Geoderma 438, 116641.</t>
  </si>
  <si>
    <t>Gupta, S., Bonetti, S., Lehmann, P., Or, D., 2022. Limited role of soil texture in mediating natural vegetation response to rainfall anomalies. Environmental Research Letters 17, 034012.</t>
  </si>
  <si>
    <t>Holdo, R.M., Onderdonk, D.A., Barr, A.G., Mwita, M., Anderson, T.M., 2020. Spatial transitions in tree cover are associated with soil hydrology, but not with grass biomass, fire frequency, or herbivore biomass in Serengeti savannahs. Journal of Ecology 108, 586–597. https://doi.org/10.1111/1365-2745.13303</t>
  </si>
  <si>
    <t>Hoover, D.L., Duniway, M.C., Belnap, J., 2015. Pulse-drought atop press-drought: unexpected plant responses and implications for dryland ecosystems. Oecologia 179, 1211–1221. https://doi.org/10.1007/s00442-015-3414-3</t>
  </si>
  <si>
    <t>Ji, W., Hanan, N.P., Browning, D.M., Monger, H.C., Peters, D.P.C., Bestelmeyer, B.T., Archer, S.R., Ross, C.W., Lind, B.M., Anchang, J., Kumar, S.S., Prihodko, L., 2019. Constraints on shrub cover and shrub–shrub competition in a U.S. southwest desert. Ecosphere 10, e02590. https://doi.org/10.1002/ecs2.2590</t>
  </si>
  <si>
    <t>Kochendorfer, J.P., Ramírez, J.A., 2010. Modeling the monthly mean soil-water balance with a statistical-dynamical ecohydrology model as coupled to a two-component canopy model. Hydrology and Earth System Sciences 14, 2099–2120.</t>
  </si>
  <si>
    <t>Kong, K., Nandintsetseg, B., Shinoda, M., 2021. How plant production in the Mongolian grasslands is affected by wind-eroded coarse-textured topsoil. Journal of Arid Environments 189, 104443.</t>
  </si>
  <si>
    <t>Küçük, Ç., Koirala, S., Carvalhais, N., Miralles, D.G., Reichstein, M., Jung, M., 2022. Characterizing the Response of Vegetation Cover to Water Limitation in Africa Using Geostationary Satellites. J Adv Model Earth Syst 14, e2021MS002730. https://doi.org/10.1029/2021MS002730</t>
  </si>
  <si>
    <t>Laio, F., Porporato, A., Fernandez-Illescas, C.P., Rodriguez-Iturbe, I., 2001. Plants in water-controlled ecosystems: active role in hydrologic processes and response to water stress: IV. Discussion of real cases. Advances in Water Resources 24, 745–762.</t>
  </si>
  <si>
    <t>Lane, D.R., Coffin, D.P., Lauenroth, W.K., 1998. Effects of soil texture and precipitation on above‐ground net primary productivity and vegetation structure across the Central Grassland region of the United States. J Vegetation Science 9, 239–250. https://doi.org/10.2307/3237123</t>
  </si>
  <si>
    <t>Lauenroth, W.K., Milchunas, D.G., Sala, O.E., Burke, I.C., Morgan, J.A., 2008. Net primary production in the shortgrass steppe. Ecology of the shortgrass steppe: a long term perspective. Oxford Univ. Press, NY 270–305.</t>
  </si>
  <si>
    <t>Liang, Y.M., Hazlett, D.L., Lauenroth, W.K., 1989. Biomass dynamics and water use efficiencies of five plant communities in the shortgrass steppe. Oecologia 80, 148–153.</t>
  </si>
  <si>
    <t>Looney, C.E., Sullivan, B.W., Kolb, T.E., Kane, J.M., Hart, S.C., 2012. Pinyon pine (Pinus edulis) mortality and response to water addition across a three million year substrate age gradient in northern Arizona, USA. Plant Soil 357, 89–102. https://doi.org/10.1007/s11104-012-1150-6</t>
  </si>
  <si>
    <t>Mensah, S., Noulèkoun, F., Dimobe, K., Seifert, T., Glèlè Kakaï, R., 2023. Climate and soil effects on tree species diversity and aboveground carbon patterns in semi-arid tree savannas. Scientific Reports 13, 11509.</t>
  </si>
  <si>
    <t>Nano, C.E.M., Pavey, C.R., 2013. Refining the ‘pulse-reserve’ model for arid central Australia: Seasonal rainfall, soil moisture and plant productivity in sand ridge and stony plain habitats of the Simpson Desert. Austral Ecology 38, 741–753. https://doi.org/10.1111/aec.12036</t>
  </si>
  <si>
    <t>Osborn, B.J., Williams, D.G., 2019. Lodgepole pine tree-ring growth, Δ 13 C and the inverse texture effect across a soil chronosequence in glacial till. Plant and Soil 443, 387–399.</t>
  </si>
  <si>
    <t>Petersen, A., 2008. Pedodiversity of southern African drylands. Hamburg.</t>
  </si>
  <si>
    <t>Renne, R.R., Bradford, J.B., Burke, I.C., Lauenroth, W.K., 2019. Soil texture and precipitation seasonality influence plant community structure in North American temperate shrub steppe. Ecology 100, e02824. https://doi.org/10.1002/ecy.2824</t>
  </si>
  <si>
    <t>Weng, E., Luo, Y., 2008. Soil hydrological properties regulate grassland ecosystem responses to multifactor global change: A modeling analysis. J. Geophys. Res. 113, 2007JG000539. https://doi.org/10.1029/2007JG000539</t>
  </si>
  <si>
    <t>Yang, Y.H., Fang, J.Y., Pan, Y.D., Ji, C.J., 2009. Aboveground biomass in Tibetan grasslands. Journal of Arid Environments 73, 91–95.</t>
  </si>
  <si>
    <t>Zhou, Z., Wang, C., Luo, Y., 2018. Response of soil microbial communities to altered precipitation: A global synthesis. Global Ecol Biogeogr 27, 1121–1136. https://doi.org/10.1111/geb.12761</t>
  </si>
  <si>
    <t>Zhu, X., Liu, H., Xu, C., Wu, L., Shi, L., Liu, F., 2022. Soil coarsening alleviates precipitation constraint on vegetation growth in global drylands. Environ. Res. Lett. 17, 114008. https://doi.org/10.1088/1748-9326/ac953f</t>
  </si>
  <si>
    <t>https://doi.org/10.1890/0012-9658(1997)078[2628:EOTAST]2.0.CO;2</t>
  </si>
  <si>
    <t>https://doi.org/10.2307/3237123</t>
  </si>
  <si>
    <r>
      <t xml:space="preserve">"This paper focuses on the spatial distribution of ANPP over the entire Central Grassland region."
Two objectives:
1. "to evaluate the spatial and temporal pattern of annual production for the region"
2. "at the regional level was to evaluate the importance of climatic variables as determinants of the pattern of primary production at the MLRA level"
"Our objective for the site level analysis was to evaluate the interaction between climate and soil variables as determinants of primary production."--i.e., </t>
    </r>
    <r>
      <rPr>
        <b/>
        <sz val="11"/>
        <color theme="1"/>
        <rFont val="Aptos Narrow"/>
        <family val="2"/>
        <scheme val="minor"/>
      </rPr>
      <t>test the ITE</t>
    </r>
    <r>
      <rPr>
        <sz val="11"/>
        <color theme="1"/>
        <rFont val="Aptos Narrow"/>
        <family val="2"/>
        <scheme val="minor"/>
      </rPr>
      <t>.</t>
    </r>
  </si>
  <si>
    <t>~9500 plots across central grasslands. Used 10-20 plots and collected one for every 7 or so estimated. Collected by NRCS.
Data for "favorable" (wettest 10%), "unfavorable" (driest 10%), and "average" years.
Used 100 MLRAs from NRCS to group sites for regional analysis.
Soil water holding capacity calculated from soil texture.
Weather station data used for climate normals.
Multiple regression to evaluate relationship between climate, soils and ANPP.</t>
  </si>
  <si>
    <t>ANPP in avg years: 150 g/m2 to 600 g/m2
Variability between wet and dry years is greatest in central part of grasslands--Kansas, NM, CO, even northern panhandle of TX
Best model (with 100 MLRA average values) was simple: ANPP = -35 + 0.6*APPT (r2 = 0.9), no other relevant climate variables.
When written like Noy-Meir's (1973): ANPP = 0.6*(APPT-56), with 0.6 = WUE; 56 mm/year is "ineffecitive precipitation".
Site-level model (9498 sites), avg year: ANPP = 32 + 0.45*APPT - 352*WHC + 0.95*WHC*APPT
Relationship between ANPP and WHC depends on APPT. Average years, &lt;370 mm APPT sandy soils have higher ANPP, finer-textured soils have higher ANPP above 370 mm APPT--which aligns with predictions from ITE.
Important notes about predicting patterns at different scales and where different variables become important--climate can predict at large scales, but soil, plant community composition, grazing may all become relevant at smaller and smaller scales.</t>
  </si>
  <si>
    <t>"The object of this study was to compare the biomass and water-use efficiencies of five different kinds of plant communities that have the same macroclimate."
"Do steppe plant communities that are dominated by different life-forms, or by grasses with different times of peak vegetative growth, have similar biomass and similar water-use efficiencies?"</t>
  </si>
  <si>
    <t>Site = CPER
BOGR dominantes most plant communities
Selected sites were level.
ANPP = max standing crop of this this year's biomass; Estimated growth on shrub branches; ashed litter in May; BNPP = root biomass down to 90 cm; ET = estimated using water balance method, precip measurements &amp; soil water content.</t>
  </si>
  <si>
    <t>Both above and belowground biomass was higher at sites with shrubs, with low-shrub site intermediate between shrub and grass sites. Grass production was not significantly different among sites (even though different mixes of C3 and C4 grasses were included). The lowest grass biomass was at sub-shrub site, suggesting perhaps ARFR4 competes more with grass than full shrubs do.
Fine root biomass was highest at loam/shrub site in 0-15 cm and this was only site with increased fine root biomass from 35-50 to 45-60 cm. Looks like biomass was increasing from 60-75 to 75-90 at the sandy loam/shrub site, too. Clay loam grass had higest biomass from 15-30 cm.
Soil water loss was greater at fine than coarse textured sites.
High WUE at shrub sites even when shrubs were excluded suggests effective resource partitioning between grasses and shrubs--though this may also have to do with ITE and higher water availability overall on sandier sites (i.e., those with shrubs). 
Shrub biomass was much more variable than grass biomass and depended more on soil texture!
Although full season biomass of grass was not different across sites, phenological differences resulted in significant differences in biomass at different times during the season.</t>
  </si>
  <si>
    <t>"The objectives of our analysis were (1) to determine the importance of temperature and soil texture in explaining spatial variability of ANPP for grassland ecosystems in the Great Plains of the United States and (2) to elucidate whether the effects of temperature and soil texture on ANPP change along a precipitation gradient."</t>
  </si>
  <si>
    <t>Used same dataset as Sala et al. 1988; ANPP data calculated as weighted average within STATSGO polygons.
Used ~300 weather stations to create 0.25C intervals and 1 mm precip intervals across region, then divided the region into bins of 5-cm MAP from 25 to 115 cm MAP. In each MAP bin related ANPP ~ MAT + %sand + %clay.</t>
  </si>
  <si>
    <t>Sounds like grasses get their water no mater what, and it's the non-grass components that can utilize other pools of soil water resources that contribute to extra biomass at sandy sites.
QUESTION: Does NRCS ANPP data used in Sala et al. and Epstein et al. include non-graminoid biomass?</t>
  </si>
  <si>
    <t>MAT exlained 45% variance of ANPP. Avg variance explained was 27% below 80 cm and peaked at 45% in 55-60 cm range. Only 7% variance explained by MAT over 80 cm MAP. Slope of MAT with ANPP negative except in 80-85 cm range.
Clay explained 35% of variation in ANPP, with max power 55-100 cm MAP. Slopes were negative below 80 cm MAP and positive above 80 cm MAP.
Sand only explained 16% with MAP &lt; 95 cm, but 25-59% when MAP &gt; 95 cm! Slopes less often significant for sand, but positive below 85 cm and negative above 85 cm.
Variation explained by soil texture greater with higher MAP. Soil texture was most important variable with MAP over 80 cm or below 40 cm.
Crossover between 80 and 85 cm.</t>
  </si>
  <si>
    <t>"Our objectives were: (1) to test predictions from the inverse-texture hypothesis across a regional precipitation gradient, and (2) to evaluate changes in community composition and basal cover on coarse- and fine-textured soils across this gradient to determine how these structural parameters may affect ANPP."</t>
  </si>
  <si>
    <t>14 grassland sites from CO to NB: shortgrass steppe, northern mixed prairie, tallgrass prairie. Half were "coarse", half were "fine" soils.
MAP ranges from 333 to 759 mm; MAT from 9 to 11 C. Used Aug-July precip in analyses.
Top 30 cm soils, sands, loamy sands, sandy loams with &gt;= 80% sand = "coarse"; clay loams, silty clay loams, loams, silt loams, and sandy loams with &lt; 60% sand = "fine".
ANPP estimated at eac site in Aug 1993 &amp; 1994. Randomly selected 5 plots along each of three 30-m transects 10-m apart.
In 0.25 m2 ring, all of this year's growth was clipped &amp; separated by species (did not quantify woody increment for shrubs). Also excluded yucca. Compared mean of 15 plots at each site for each year.</t>
  </si>
  <si>
    <t>Variability in biomass among 15 plots/site was higher on the coarse sites and usually also at drier sites.
Significant and positive relationship between ANPP and both MAP and Aug-July precip in both years, but Aug-July was the stronger relationship. No significant interaction of soil texture (but nonsig. trend aligning with ITE).
In 1993 only, ANPP decreased significantly with increasing water holding capacity at dry sites (but not wet sites).
Graminoids were bulk of ANPP at all sites; coarses sites had more forbs &amp; shrubs. Shrub were more important at coarse SGS sites than anywhere else. Cactus was most important at fine SGS sites, and rare (&lt;5%) elsewhere.
Fine sites: p(ANPP from forbs) increased with Aug-July precip.
Coarse sites: p(ANPP from forbs) increased with Aug-July precip in 1993 only.
Forbs generally seemed to increase with Aug-July precip and MAP, but relationship wasn't always significant, perhaps due to late sampling date and low precision. Small sample size for shrubs also caused trouble, especially in 1994.
Graminoid ANPP increased with Aug-July precip, but water holding capacity was not useful here (or with forbs).
MAP did not relate to basal cover of live biomass, though canopy cover and litter cover were higher at wetter sites.</t>
  </si>
  <si>
    <t>In contrast to lots of results from average ANPP over several years at a single site compared between soil textures, this regional study did not reveal any significant texture influence on ANPP.
Again, the results point to the increasing contribution of shrubs, half-shrubs, and forbs as driver of differences in ANPP between coarse- and fine-textured sites.
Interesting that community composition seems to be the most important factor depending on soil texture across this gradient.</t>
  </si>
  <si>
    <t>https://doi.org/10.1029/2000WR000121</t>
  </si>
  <si>
    <t>Is there a way to detect both MAP and MAT influcence at once? Do you have to partition one or the other to see these relationships? What determines when MAT will be important or not--is it the balance between evaporation and drainage?</t>
  </si>
  <si>
    <t>Three case studies: 
1. Nylsvley in South Africa, warm savannah, not much variability in soil texture, trees and grass root similarly--explore how vegetation affects soil moisture dynamics.
2. La Copita, TX, semi-arid brushland, trees and grass differ phenologically and by roothing depth--assess coexistence due to interannual variability
3. Colorado, shortgrass steppe, dominated by BOGR--explore how soil texture affects water stress in wet and dry years.</t>
  </si>
  <si>
    <t>Use stochastic soil water model to explore case studies and dryland vegetation.</t>
  </si>
  <si>
    <t>1. South African savannah, most rain (98%) in summer months (60cm/yr), monsoonal (?), sandy soil (85-90% sand), depth from 80-120 cm. 32% woody plant cover and 30% herbaceous plant cover. Main take-away seems to be that different physiological and water-use characteristics of the four plants result in similar dynamic water stress--even though they each do things differently, perhaps enabling coexistence.
2. La Copita brushland, apparently ongoing shurb/tree incroachment due to mix of things from pple and perhaps also climate change. Subtropical cliate MAP 70 cm, rainfall is more evenly distributed throughout the year. Marked periods of wet and dry over past ~50-60 yrs. Fine sandy loam soil, depth varies, usually with veg type. Tree/shrub roots deeper than grasses. Grasses transpire more quickly to rapidly take up any water that becomes available in  their shallow soils, while the trees are slower and gradually use water from their deeper soils over time. As a result, grasses trasnspire more under non-stressed conditions, but over a short period of time, while trees transpire more under stressed conditions over a long period of time. Although both are similarly suited to the site, wetter periods favor the trees, while drier periods favor the grasses.
3. CPER shortgrass steppe, highly variable soil texture, mostly summer precip, MAP 32 cm (range 11 to 59 cm). BOGR condition is very sensitive to soil texture under dry conditions, doing best on sandy soils. Much less sensitive under wet conditions, when it will do slightly better on finer soil. Along gradient of annual rainfall, growing season precip ~260 mm is crossover for performance of sand relative to other textures. This corresponds to ~370 mm annual precip and supports ITE.</t>
  </si>
  <si>
    <t>This whole set of papers (this is paper 4 of 4 in series) is a rather complex set-up with some interesting take-aways about how much of the time plants with different characteristics might spend in stressed conditions in different environments. This should be a good approach for understanding ITE under short-term conditions, but it's unclear how far these ideas have spread beyond the research group here.</t>
  </si>
  <si>
    <t>This work will expand on idea of "the crucial role of soil texture in the coupled relationship between vegetation and soil moisture and in determining favorable conditions to the vegetation according to the previously described inverse texture effect."</t>
  </si>
  <si>
    <r>
      <t>Represented all 12 soil texture classes by their centroids, site was La Copita Research Area in TX. Two focal species, C4 grass (</t>
    </r>
    <r>
      <rPr>
        <i/>
        <sz val="11"/>
        <color theme="1"/>
        <rFont val="Aptos Narrow"/>
        <family val="2"/>
        <scheme val="minor"/>
      </rPr>
      <t>Paspaleum setaceum</t>
    </r>
    <r>
      <rPr>
        <sz val="11"/>
        <color theme="1"/>
        <rFont val="Aptos Narrow"/>
        <family val="2"/>
        <scheme val="minor"/>
      </rPr>
      <t>) and a woody plant (honey mesquite). Subtropical site, MAT 22.4 C, MAP 70 cm.</t>
    </r>
  </si>
  <si>
    <t xml:space="preserve">Considers ITE: same vegetation under different precip, given different soil.
Point out that as clay content increases, PDF of soil moisture and loss funtion shift higher--due to more water being held tight to clay particles and not available for loss (resulting in higher moisture content on average)--this piece of the puzzle fits with Fensham et al. 2015.
I'm very confused about leakage being higher on clay soils for P. glandulosa. Even if the probability of these soils being above field capacity is higher than other soils, there's no way that enough water can move through the profile to leak out with clay soils (under very dry conditions, no less!)... at least not how I thought I understood these dynamics!
They really push the idea that ITE is because of diffs in the amount of water needed to transition from wilted to unstressed conditions and how this changes with climate. The demonstrate ITE without "resolving all of the vertical processes typically invoked to describ it." Also ties in to how texture affects fitness and coexistence of the two species at this site (coexistence is possible across wide range of textures under avg conditions). </t>
  </si>
  <si>
    <r>
      <t xml:space="preserve">Soil texture shifts loss function (ET + D) and PDF of soil moisture regardless of vegetation or climate. (I.e.: controls duration, frequency, and intensisy of water deficit experience of both plant types under all conditions). Shallow-rooted species see more extreme fluxuations (higher SD in PDF of soil moisture) than deep-rooted species. Climate shifts location of PDF for both species (higher precip = shift of PDF to higher values).
</t>
    </r>
    <r>
      <rPr>
        <b/>
        <sz val="11"/>
        <color theme="1"/>
        <rFont val="Aptos Narrow"/>
        <family val="2"/>
        <scheme val="minor"/>
      </rPr>
      <t>They do talk about leakage being greater for shallow-rooted plants (grasses) than for deep rooted plants!</t>
    </r>
    <r>
      <rPr>
        <sz val="11"/>
        <color theme="1"/>
        <rFont val="Aptos Narrow"/>
        <family val="2"/>
        <scheme val="minor"/>
      </rPr>
      <t xml:space="preserve">
Regardless of wet or dry conditions, the grasses are stressed less often but cross into stress zone more frequently than the woody plant.
Dry conditions: both are happier on coarse- than fine-textured soil--and both shift to doing better on finer textured soils as climate gets wetter.
Vertical integration of soil moisture dynamics in this model cannot detail all the processes relevant to ITE. But, looks like in dry conditions, coarse soils are best because they take a smaller input of water to get above stress levels for plants. In wetter climates, having a larger gap between stress point and wilting point--as in finer-textured soils--is better because plants spend less time in the wilted point.
Dry periods = grass dominant (especially on finer soils, with biggest diffs on silty clay cloam nd smallest on loamy sand &amp; sand); Wet periods = shrubs dominant, but less so than grasses in dry periods. Their analysis shows under average conditions the transition between grass vs shrub dominance can happen on any soil type &amp; esp. in sandy loams.</t>
    </r>
  </si>
  <si>
    <t>(Chapter 5): "Sandy soils are more vulnerable to desertification (shifting sand dunes, and sand dune reactivation) independent of climate. Shifting sand dunes are spreading into the grasslands in the study area. This study will test inverse soil texture hypothesis (Hypothesis 5.2), as the region is highly subjected to low and variable rainfall, overgrazing and increasing desertification threat."</t>
  </si>
  <si>
    <t>Somewhat unclear</t>
  </si>
  <si>
    <t xml:space="preserve">Biomass and cover were not well predicted by soil sand content. </t>
  </si>
  <si>
    <t>This study didn't really do anything interesting with ITE. Just looked at biomass and cover across 4 categories of soil texture. Importantly, these results may suggest that soil texture affects plant functional type composition across this area--unclear what precipitation gradients there might be, and also there is confounding with degradation categories (?).</t>
  </si>
  <si>
    <t xml:space="preserve">Bucini, G., Hanan, N.P., 2007. A continental‐scale analysis of tree cover in African savannas. Global Ecology and Biogeography 16, 593–605. </t>
  </si>
  <si>
    <t>https://doi.org/10.1111/j.1466-8238.2007.00325.x</t>
  </si>
  <si>
    <t>Notes that savannas are ecosystems where herbaceous and woody plants exist and it is a dry season, rather than a cold season, that defines seasonality (cites Scoles &amp; Archer 1997).
"Our aim is to identify the processes that create and modify tree cover at these large continental scales where climate, soil type and disturbances by fire, herbivores and humans vary substantially. We examine the extent to which variations in annual precipitation, soil nitrogen and texture, fire frequency, cultivation intensity, cattle density and human population may contribute to observed emergent properties of tree cover across Africa."
"we seek to resolve the relative importance of: (1) environmental components that determine the structure of the vegetation in the absence of perturbations; and (2) the perturbation components that create a departure from the ‘potential’ (i.e. undisturbed) state."</t>
  </si>
  <si>
    <t>Use satellite-dervied estimates of tree cover in combination with other datasets to partition variation of tree cover into two components: potential vegetation given environemental characteristics and modifications from natural and human-related disturbances.
Focused on areas categorized as savanna in a biome map and with MAP &lt;2200 mm (!!--that's a lot!!). Sampled 0.02% of the dataset for 13,416 500-m point estimates.</t>
  </si>
  <si>
    <t>Sankaran et al. (2005) - showing rainfall limitation on tree cover at &lt;650 mm but not in wetter areas.</t>
  </si>
  <si>
    <t>Best model was a sigmoid function including variables MAP, soil texture, nitrogen, fire frequency, cultivation intensity, human population, and cattle density.
Fine-textured soils show higher tree cover than coarse throughout when MAP &gt;300 mm and medium texture class has lowest cover (above MAP ~1400 mm).
MAP is key determinant of tree cover, while perterbations generally decrease tree cover.
Fire frequencies highest in semi-arid and mesic (800-1500 mm) and here reduce tree cover 20-25%. Cattle and fire both have minimal effects &lt;700 mm. Cattle are most abundant at 800 mm. We only really see perterbation effects above 400 mm, with big diffs only above 600 mm. Over 1600 mm, MAP is no longer so important and it is perturbations that drive tree cover.
Suggest soil texture has less to do with competitive interactions, demographic and disturbance dynamics... but see analysis caveats about the resolution of the datasets they used.</t>
  </si>
  <si>
    <t>Didn't support ITE--but here they are thinking of ITE as affecting plant functional type composition more so than overall productivity (or they say ITE may be more relevant for NPP than tree cover)--this idea that ITE is about woody plants surfaces again here.
Key issue is with resolution of datasets--MODIS is 500-m and soil texture estimates are even coarser. I suspect a great deal of information is lost here.</t>
  </si>
  <si>
    <t>This is a chapter discussing NPP.</t>
  </si>
  <si>
    <t>Used NRCS Range Site database (USDA, 1967) to compare ANPP across sites in SGS.</t>
  </si>
  <si>
    <t>ANPP decreases with water-holding capacity and we see higher productivity on coarse-textured sites at low precip (&lt;375 mm MAP) and higher on fine-textured (&gt;375 mm MAP).
Also note that deep sandy soils support taller vegetation than adjacent fine-textured sils. Kuchler (1964) maps show Andropogon sp. on deep sand along big rivers in SGS; adjacent fine-soils are dominated by BOGR2 and buffalo grass.
Relationships between correlates and ANPP are stronger at regional than at site scale. Climate rules at regional scale, but doesn't vary as much at site scale.
Includes a very nice discussion about differences in ANPP models that are spatial vs. those that are temporal--with spatial relationship being much stronger than temporal.</t>
  </si>
  <si>
    <t>Explain ITE via lower evap from coarse soils. 
A little new data here showing ITE across SGS ecosystems pretty nicely (using NRCS data).
Very good discussion of the difference between spatial and temporal relationships.</t>
  </si>
  <si>
    <t>"To confirm this theory [ITE] a comparison of an Arenosol and a neighbouring Cambisol on the observatory Sonop was done by the BIOTA subproject S06"</t>
  </si>
  <si>
    <t>Used gypsum blocks to estimate soil moisture in dune and interdune sites (i.e., coarse and fine-textured soils)</t>
  </si>
  <si>
    <t>Coarse soils were wetter, dried slower, and had deeper moisture than fine-textured soils.</t>
  </si>
  <si>
    <t>Attribute ITE to lower evap on coarse, more water held away from plants on fine, deeper infiltration on coarse. Maybe also higher runoff from fine site due to crusting.
Pretty good evidence that soil moisture differs substantially between adjacent contrasting soils.
This is just a side note to the main study of pedodiversity.</t>
  </si>
  <si>
    <t xml:space="preserve">Weng, E., Luo, Y., 2008. Soil hydrological properties regulate grassland ecosystem responses to multifactor global change: A modeling analysis. J. Geophys. Res. 113, 2007JG000539. </t>
  </si>
  <si>
    <t>https://doi.org/10.1029/2007JG000539</t>
  </si>
  <si>
    <t>"In this paper, we conducted a modeling study to evaluate how soil textures with distinct hydrological properties regulate ecosystem water and carbon dynamics in response to altered precipitation amounts and frequencies, climate warming, and elevated atmospheric [CO2]."
Questions: "How did soil texture regulate partitioning of precipitation among runoff, evaporation, and transpiration? How did the changes in water partitioning affect ecosystem responses to changes in precipitation frequency and amount, warming, and elevated atmospheric [CO2]?"</t>
  </si>
  <si>
    <t>Used TECO model with 4 components: phothsynthesis, soil water dynamics, plant growth, and soil carbon dynamics.
Max rooting depth = 70 cm, 10 soil layers (10 cm, then 20 cm for rest). Rooting distribution could vary some but generally most roots in top 30 cm and many fewer below.
Model calibrated against 5 yrs field data.
Scenarios (90 total): 
PPT: 0.5, 1, 1.5 x ambient
PPT intensity: ambient, high
TEMP: ambient, ambient+2C
CO2: 360 &amp; 720 ppm
Soil available water capacity: 5,7.5,15,23,30% corresponding to sand, sandy loam, loam, silt loam, clay loam
Ambient ppt was 804 mm, MAT 16C, used one year with close to normal values for simulations (2002).</t>
  </si>
  <si>
    <t>Proportion of water used for transpiration decreased with available water capacity--so coarser textured soils had a greater proportion of water going to transpiration.
Finer textured soils had greater absolute amounts of water going to ET from shallow layers (0-20 cm), but coarser soils had more consistent amounts throughout the profile.
We see evaporation increaseing and runoff decreasing with AWC, but transpiration--particularly at 0.5P is greatest for intermediate AWC (LOAM!!).
Warming appeared to increase transpiration--suggesting this site has some temp limitation, or possibly related to decreases in runoff (?).
Transpiration tended to increase initially with AWC, then leveled off.
Transp. varies a lot with soil type. Fine textures keep water in shallow soils where it is vulnerable to evap. Coarse textured soils dry quickly, greatly reducing evap and keep water available to plants in deeper layers.
Results support ITE with NPP highest on coarse soils at low ppt and on fine soils at high ppt.
Importantly, ppt intensity can modify results somewhat--so care must be taken comparing sites with differences in ppt intensity.</t>
  </si>
  <si>
    <t>Phoenix metropolitan region, MAP 180 mm, mean summer temp 30.8C.
Used MODIS max biweekly NDVI 2000-2005 to estimate ANPP, Landsat Landuse land-cover dataset + GAP for partitioning area into different land types.</t>
  </si>
  <si>
    <t>"Our main objective in this research was to quantify effects of urbanization on primary productivity in the Phoenix metropolitan region, Arizona, USA."
Questions: "1) Does urbanization lead to an increase or decrease in primary production compared to the native vegetation in the region? 2) What land cover types in the region are the most productive and how does productivity vary among different years? 3) Are there temporal signatures of NDVI that distinguish different land cover classes in this urban region? 4) What is the relationship among rainfall, socio-economic variables, and ANPP?"
"The ‘‘inverse texture hypothesis’’ was tested by stratifying the two desert land covers by soil texture obtained from the Soil Survey Geographic (SSURGO) Database (Soil Survey Staff, 2002)."</t>
  </si>
  <si>
    <t>Natural veg ANPP had most inter-annual variability in space and time.
Cultivated grasses, agriculture, and riparian areas were most productive. Besides ag, all other human land covers varied least in ANPP throughout the year.
ANPP of native veg can be much higher than human land covers in wet years.
Natural veg productivity clearly coupled to precip and varied with soil texture, with highest correlations on sandy soil--does this in fact support ITE??
Human land covers clearly decoupled from precip.</t>
  </si>
  <si>
    <t>Not sure if correlations between rainfall and NPP on different soil types is really a test of ITE. Key finding is that correlations were lower in dry and wet years, highlighting challenge of detecting ITE in comparing productivity across years at a single site.</t>
  </si>
  <si>
    <t xml:space="preserve">Caylor, K.K., Scanlon, T.M., Rodriguez‐Iturbe, I., 2009. Ecohydrological optimization of pattern and processes in water‐limited ecosystems: A trade‐off‐based hypothesis. Water Resources Research 45, 2008WR007230. </t>
  </si>
  <si>
    <t>https://doi.org/10.1029/2008WR007230</t>
  </si>
  <si>
    <t>"our goal is the articulation of more general principles that operate to govern the dynamic feedbacks between vegetation and resource availability across a variety climates and ecosystems."
"we present here an exploration of a general hypothesis that the spatiotemporal organization of semiarid ecosystems can be best described through the consideration of an explicit trade-off between resource use (growth) and stress avoidance (survival)."</t>
  </si>
  <si>
    <t>This may be the only paper I've read so far that actually addresses the "taller, denser" part of ITE!! Though, it appears that clays actually result in denser trees, just smaller.
Attribute differences between sand and clay to "changes in saturated hydraulic conductivity, soil porosity, and the relationship between soil water potential and volumetric water content". Although clays can hold much more available water than sands at field capacity--dryland soils rarely reach field capacity, so this matters less (!) and it's much more important that sands bind water much less tightly so that plants can extract it more easily than from clays.
Note that they fixed rooting depth of trees, which may not be accurate and I wonder if it affects the results.</t>
  </si>
  <si>
    <t>1. Grass cover is dynamic and apparently has the ability to respond to short-term fluctuations in moisture in a way woody plants cannot. The effect of these responses on trees depends on conditions: in dry years, lower grass cover appears to benefit trees, while in wet years, higher grass cover has little effect on trees. Results suggest savanna is really the most effective vegetation mix for utilizing the resources in this system.
RRR: It's almost as if grasses are just there to take up the extra surface water, however much that might be, and maximize water use for the system while trees plod along slow and steady, not betting on wet years but betting on dry.
2. We find trees do best up high and grasses and shrubs do best down low in the basin--reflecting importance of stress at low elevations and water at high. This results in differences in "ideal" vegetation for each location, which was closer to actual vegetation than random veg 76% of the time. Again, these results stem from determining which vegetation type has maximum stress-weighted water uptake at each location. Remaining discrepancy between "ideal" and "actual" veg probably stems from even smaller scale variations and ecological legacies.
3. Increasing tree density or lateral root extent increases both water use and water stress per tree. They find that there is a specific root density that optimizes the tradeoff between water use and water stress for any given density of trees.
4. The optimization framework proposed here does a nice job of explaining these differences in density and size of trees (!). Turns out there is a much wider range of vegetation structure that is optimal on sandy conditions (albeit with a clear tradeoff between density and lateral root spread) than on clay soils, which tend to favor smaller, denser trees--sparse trees just can't do a good job utilizing water on these sites. They also note clayey sites can sustain much greater root overlap than sandy sites.</t>
  </si>
  <si>
    <t>AIM: Investigate controls of above ground biomass in high elevation Tibetan Plateau (4000 m, MAT 1.6C, MAP 414 mm).</t>
  </si>
  <si>
    <t>Used field data from 135 sites July-Aug 2001-2004+ MODIS data EVI, and used precip, temperature, and soils to predict AGB. Note it is growing-season ppt and temp.
1. Get field based AGB data x EVI relationship
2. Predict AGB across entire region.
3. Regression for AGB ~ precip, temp, soil texture
4. Regression for AGB ~ temp, silt, sand for 100 mm bins of ppt from 100 to 600 mm.
5. GLM for prop of vraiance in AGB explained by each of ppt, temp, soil texutre</t>
  </si>
  <si>
    <t>AGB increased with growing-season ppt (r2 = 0.18), but was not related to growing-season temp.
At drier end (&lt;200 mm), temp was strongly negatively related to AGB and at wetter end, it was weakly positively related to AGB.
AGB positively correlated with silt and negatively correlated with sand. BUT: AGB decreased with silt with ppt &lt; 200 mm and increased with silt at wetter sites (&gt;200 mm ppt). Sand showed exact opposite patterns.</t>
  </si>
  <si>
    <t>Explain ITE in terms of lower evap from sand in dry areas and higher water holding capacity in wet areas.
Short, sweet article providing similar results to those from central grasslands of North America.</t>
  </si>
  <si>
    <t>"We devised observational studies to address the following questions. (1) Does soil type affect the degree of water stress experienced by adults of dry rainforest species during a drought? That is, is there evidence of edaphic compensation? Alternatively, is there evidence of the inverse texture effect? (2) Is there any ecotypic difference in plant traits among populations on contrasting soils? (3) Do different species experience differing levels of water stress during similar drought conditions, and if so, are different mechanisms used to cope with drought?"</t>
  </si>
  <si>
    <t>Dry rainforests are found on both sandy and clays/loams in New South Wales--wanted to compare traits of species on these two soil types following severe 2002-2003 drought.
Three climate periods, summer drought, winter non-drought, summer non-drought. Two sandy and two loamy sites. Mean annual rainfall is 690 mm at one site and 744 mm at the other. Droughts were severe and hot.</t>
  </si>
  <si>
    <t xml:space="preserve">Little evidence of diffs in predawn water potential or transpiration rate between soil types and sampling periods. Drought stress was high regardless of soil type during summer drought period. After drought ended, water stress seemed to be higher on loamy soils.
No difference in drought tolerance traits found between plants growing on the two soil types.
ITE NOT supported during drought, but after drought they found higher water stress on loamy soil.
No evidence of soil-related ecotypes.
</t>
  </si>
  <si>
    <t xml:space="preserve">Attribute ITE to increased infiltration on sand, meaning less water is needed to wet them to field capacity deeper in the soil.
Not a very interesting study--really just a case of comparing two kinds of soil and framing it as ITE investigation, but they didn't really span a wide enough environmental gradient to be useful. All we know is that post-drought, loamy soils were more stressful than sandy soil for these species in this spot with relatively high precipitation. </t>
  </si>
  <si>
    <t>Looney, C.E., Sullivan, B.W., Kolb, T.E., Kane, J.M., Hart, S.C., 2012. Pinyon pine (Pinus edulis) mortality and response to water addition across a three million year substrate age gradient in northern Arizona, USA. Plant Soil 357, 89–102.</t>
  </si>
  <si>
    <t>https://doi.org/10.1007/s11104-012-1150-6</t>
  </si>
  <si>
    <t>AIM: investigate effects of soil age (corresponding to both a texture and nutrient gradient) on pinyon mortality duirng drought in a dry site.</t>
  </si>
  <si>
    <t>4 sites of different ages, each with ppt below 370 2002-2005.
Added water to 12 trees per site for 6 yrs prior to study, with 12 controls/site, added water was about +50% of growing season precip.
Measured predawn water potential, soil water potential 0-30 cm, some growth measurements from trees, vegetation measurement for tree mortality and stand characteristics.</t>
  </si>
  <si>
    <t>Older sites had higher SWC in to 30 cm, water additions also worked, but effects were similar among substrate ages.
Predawn water potential did NOT differ among substrates, but watering did increase it across all sites.
dC13 difered among sites, but there was no significant watering effect. Looks like highest chronic water stress at second-oldest site.
Watering lowered water stress at youngest site but increased stress at two older sites--here is ITE. MAP here is 336 mm, so we expect coarser-textured soils to be wetter than fine-textured soils.
Leaf production per branch increased from youngest to next site, then decreased with increasing site age. Watering had no real efffect on leaf area production. Similar patterns with branch elongation, but watering DID cause more elongation in 2009 (not in 2008). Radial growth was similar to stem elongation. At the oldest site, watering caused a reduction in growth at the second-oldest site (!).
Pinyon abundance increased with substrate age for first 3 ages, then decreased at oldest site. Second to oldest site had highest mortality, then the second-youngest site. The youngest and oldest sites had similar mortality. Denser pre-mortality stands experienced higher mortality--but density of pinyon only and juniper abundance didn't seem to matter.
Evidently age was way more important than watering for pinyon growth. Tree growth was greatest at the intermediate age sites--but youngest site still seemed to have higher growth.</t>
  </si>
  <si>
    <t>Explains ITE as reduced evap and runoff from coarser soils.
High reduction of growth at the second-oldest site might have to do with potential for very deep bare soil evap at this site given its intermediate soil texture (maybe around loam)--watering kept connections longer and allowed more deep water (presumably from winter) to be drawn up and lost to evaporation.
This paper also sort of gets at "denser" part of ITE--we see denser trees on finer-textured soils (again, a result opposite ITE, but still interesting).</t>
  </si>
  <si>
    <t xml:space="preserve">Nano, C.E.M., Pavey, C.R., 2013. Refining the ‘pulse-reserve’ model for arid central Australia: Seasonal rainfall, soil moisture and plant productivity in sand ridge and stony plain habitats of the Simpson Desert. Austral Ecology 38, 741–753. </t>
  </si>
  <si>
    <t>https://doi.org/10.1111/aec.12036</t>
  </si>
  <si>
    <t>"Our overall aim was to explore patterns of precipitation and plant productivity with a view to advancing our understanding of vegetation responses to the diversity (timing, amount and connectivity) of rainfall pulses in this system."
"1. How is rainfall distributed in the region – is there a difference in seasonality between high rainfall years and normal years? 2. What has the greatest effect on species composition – rainfall amount or connectivity? 3. Do big rains structure this ecosystem? Is there evidence for correspondence between hierarchical soil water pulses and hierarchical biological responses? 4. To what extent do regional-scale attributes such as soil texture and the seasonal tendencies of the flora moderate the rainfall-productivity relationship in this system?"</t>
  </si>
  <si>
    <t>Two habitat types: tall, deep sand ridges and clayey plains with stony surface pavement. Sands have some shrubs, grasses, forbs; clays have grasses and herbs.
Did some rainfall freqency analysis/characterization.
Sampled two blocks 50 km apart, with 4 sites per habitat in each spot. Used 50x50m quadrat and assigned cover values in bins. Recorded reproduction, too.
Sampled twice before high rainfall pulse and a few times after.</t>
  </si>
  <si>
    <t>Of long-term weather data, wet years had more large events and more large storms than dry years, but also just more storms and events period (and more clustered rainfall, hence more storms).
Sand ridges had higher abundance and diveristy of species over time, but long-lived grasses did prefer gibber. Differences between sampling times tended to be more extreme on gibber than sand.
Species abundance was significantly related to pulse connectivity and pulse amount, but connectivity was more important--suggesting antecedent soil moisture is more important than amount of precip (RRR: Is this because we need plants to already be active if we want them to respond?)
They emphasize that species phenology influenced which pulses they responded to--and there are some for which winter rainfall is key, even though this is a summer-dominated precip regime (also that winter rainfall may be disproportionately effective relative to summer--not surprising). Short-lived species may respond equally to a small or large pulse.
Sands were had more stable community over time, also higher productivity (abundance, richness, and diversity of species). Suggest smaller events would be more effective on sand, moderating differences between wet and dry periods.</t>
  </si>
  <si>
    <t xml:space="preserve">Fensham, R.J., Butler, D.W., Foley, J., 2015. How does clay constrain woody biomass in drylands? Global Ecology and Biogeography 24, 950–958. </t>
  </si>
  <si>
    <t>https://doi.org/10.1111/geb.12319</t>
  </si>
  <si>
    <t>Note ITE effects on both community structure and productivity.
Relatively limited study, not much new information here.
This one also suggests that ITE and Two-Layer Hypothesis are similar.</t>
  </si>
  <si>
    <t>"The current study (1) tests the proposition that the ‘inverse texture effect’ will result in greater woody biomass on non-clay substrates than clay substrates through the drylands of the Australian continent; (2) presents data on soil moisture content and soil water potential (water availability) across an annual cycle in adjacent sand-rich and clay-rich soils from a dryland environment to distinguish between the ‘infiltration’ hypothesis, that invokes faster and deeper infiltration in sandy soils, and the ‘moisture retention’ hypothesis invoking lengthier periods below wilting point in clay-rich soil than in sandier soil; and (3) tests the hypothesis that areas of high tree mortality during drought are associated with relatively clay-rich subsoils."</t>
  </si>
  <si>
    <t>Chose 116191 random points across Australia, and calculated a moisture index, wody biomass, and whether or not the site had surface clay (&lt;40% clay) or non-clay (&lt;=40% clay) soil using geospatial datasets.
Used a datast of soil moisture monitored over time on clay-rich and sand-rich soils from a site with 236 mm MAP, moisture data from 0-5 cm and 10-50 cm depths.
For mortality, a site with ~500 mm MAP selected with drought-induced tree mortality. Two soils, one with an abrupt clay increase and the other with a gradual clay increase. Chose 9 sites with adjacent patches of high and low mortality.</t>
  </si>
  <si>
    <t>Includes enhanced infiltration, reduced evaporation, and less tightly-held water as key characteristics of sand that favor woody plants in drylands (ITE).
Note this one clearly states ITE is about woody plants in drylands--an Australia idea.
Strongly advance idea that it is moisture availability on clay vs sand that causes ITE.</t>
  </si>
  <si>
    <t>Consistently lower biomass on clay compared to non-clay at moisture index -0.75, then biomass is higher on clays up to moisture index of -0.51, but then all soils are similar at most mesic part of Australia.
Soil moisture was higher on clay floodplain than in sandy soils, but water was much more available on sandy soils! SWP in deep soils was below stress point on clay soil for 98% of study period (only 12% on sandsheet).
Clay content at 30 cm had strong effect on tree mortality. Gravel content at 100 cm and tree density also increased mortality.
IMPORTANT NOTE: Threshold for ITE (cross-over point) depends on PET--higher PET means higher cross-over point.
Only a very small increase in clay existed between some low and high mortality sites.</t>
  </si>
  <si>
    <t>Hoover, D.L., Duniway, M.C., Belnap, J., 2015. Pulse-drought atop press-drought: unexpected plant responses and implications for dryland ecosystems. Oecologia 179, 1211–1221.</t>
  </si>
  <si>
    <t>https://doi.org/10.1007/s00442-015-3414-3</t>
  </si>
  <si>
    <t>Three hypotheses:
"First, we hypothesized that sensitivity to drought would be predictable based on life form (grasses vs. shrubs) and photosynthetic pathway C3 vs. C4). 
Second, we predicted that the additive effects of the press- and pulse-droughts would be greater than the effect of the pulse-drought alone and push the more sensitive PFTs beyond critical thresholds. 
Third, as the experiment spanned a range of parent materials (sandstone and shale) and textures (fine to coarse), we hypothesized that the precipitation treatments would have stronger effects on fine soils/shale than on coarser soils/ sandstone, as suggested by the inverse texture hypothesis"</t>
  </si>
  <si>
    <t>40 sites across Colorado Plateau. Two plots x site, one treatment, one control. 150x200 cm plots. 2011-2014, 35% reduction in rainfall from treatment plots.
Got precip data and soil texture (0-10 cm), plus plant and ground cover measurements.</t>
  </si>
  <si>
    <t>2011, 2013, and 2014 were around normal precip, but 2012 was extremely dry, so that's the pulse drought with press drought imposed on treatment plots in the other years.
Press-drought reduced cover of C3 grass, C4 grass, C4 shrubs, but not C3 shrubs. Press drought affected both grass types in 2011, but pulse drought had noticably larger effect on C3 grass in 2012. Combined pulse and press drought for C3 grass resulted in higher mortality than pulse drought alone.
C3 shrubs didn't seem to be affected at all, while C4 shrubs had large impact from pulse drought that persisted for rest of experiment. C4 shrubs didn't die, just reduced cover.
No real sign that parent material or soil texture affected mortality. BUT, plant cover generally lower on shale (finer-soil) substrates. Note that there is substantial winter precip which could have confounded results.</t>
  </si>
  <si>
    <t>Attribute ITE to infiltration depth, run-off, and evaporation. Note that no ITE support here may be due to importance of winter precip.
Yes, cover WAS higher on sandy soils… that supports ITE for average conditions. They just didn't find ITE for these drought events. More evidence that ITE during drought is inconclusive.</t>
  </si>
  <si>
    <t>Ji, W., Hanan, N.P., Browning, D.M., Monger, H.C., Peters, D.P.C., Bestelmeyer, B.T., Archer, S.R., Ross, C.W., Lind, B.M., Anchang, J., Kumar, S.S., Prihodko, L., 2019. Constraints on shrub cover and shrub–shrub competition in a U.S. southwest desert. Ecosphere 10, e02590.</t>
  </si>
  <si>
    <t>https://doi.org/10.1002/ecs2.2590</t>
  </si>
  <si>
    <t>Study area: Monsoonal climate with hot summers and 64% of precip arriving in summer.
Data: Used NAIP imagery from 21 May 2011 to generate shrub cover map of Jornada Basin LTER site, estimated cover at 1-ha (100 x 100 m) by dividing shrub pixels by total pixels (1m2 resolution). Ground-truth at 200 randomly selected points using Google Earth (92% accuracy), also compared cover estimates to field-collected data (slope of line relating these data was 0.95, nice). Converted rasters to polygon and estimated shrub patch size and density. Used landform map showing mountains and hills, piedmont slopes, basin floors, and Rio Grande Valley and subdivided into 26 landform units. Soil texture from SoilGrids map at 7 depths (0,5,15,30,60,100)—calculated surface soil clay content (0-5 cm). Estimated saturated hydraulic conductivity, too. Used a catchment-type equations to calculate topographic wetness index (TWI; high = low point, low = crests/ridges).
Analysis: Considered 99th percentile of shrub cover as upper limit in analysis (per land form or across the basin). Correlation between 99th percentile and Plant Available Water (PAW) ranks for each landform. Used additive parametric quantile regression analysis to explore relationship between upper limit of shrub cover and soil texture and topography (TWI). Linear quantile regression for shrub patch size or density and used 95th percentile to get adequate sample size.</t>
  </si>
  <si>
    <t>Results: Shrub cover seems to increase with plant available water ranking across landforms.
Finer soil on landforms receiving run-on. 
Max shrub cover initially increased with surface clay content, then decreased as surface clay content surpassed 18% (seems like water infiltration declines rapidly as clay content increases above 19%, per Ksat calculations)—suggests reduced infiltration could be driver of reduced max shrub cover here. Increase in cover between 11-18% surface clay suggested to have to do with increasing fertility without consequences to infiltration rates.
TWI was no good at predicting max shrub cover.
95th quantile shrub patch size decreased with patch density except on a few odd-ball landforms—suggesting self-thinning is going on, though they suggest this shrub-shrub competition is probably most relevant where cover is close to maximum for that landform.
Still, lots of unexplained variation likely due to other factors.</t>
  </si>
  <si>
    <t>The initial increase with surface clay may have to do with surface stability. Though, 18% is pretty high for clay (!).</t>
  </si>
  <si>
    <t>863 mm MAP at these sites of different aged glacial till (and thus different clay levels).</t>
  </si>
  <si>
    <t>Didn't find an inverse texture effect--but then again, it was a pretty wet site where we probably wouldn't expect ITE.</t>
  </si>
  <si>
    <t>Not a very interesting study overall. I think a key take away is that some of the studies that say they did not find support for ITE are just in too wet of sites--which is an easy thing to point to. Generally, my hypothesis is that any study that doesn't find ITE isn't looking at the right combination of environmental characteristics to see it--either too wet, or not the right soil contrasts, or some confounding issue with temperature.</t>
  </si>
  <si>
    <t>Fravolini, A., Hultine, K.R., Brugnoli, E., Gazal, R., English, N.B. and Williams, D.G., 2005. Precipitation pulse use by an invasive woody legume: the role of soil texture and pulse size. Oecologia, 144, pp.618-627.</t>
  </si>
  <si>
    <t>AIM: Assess the effect that the interaction between rainfall pulse size and soil texture have on summer water use by velvet mesquite. Used large (35 mm) and small (10 mm) irrigation inputs to evaluate physiological responses of trees on contrasting soils (sandy-loam vs. loamy-clay).</t>
  </si>
  <si>
    <t>Monsoon rainfall is 60% of total annual precipitation in arid SW US. Pulsed soil moisture favors plant growth for short time periods. In SE AZ there are frequent small events and infrequent large events—and the difference between a wet and a dry/normal year can be just a few very large events.
Site: Santa Rita Experimental Range. MAP: 430 mm at loamy-clay site and 394 mm at sandy-loam site.
Roots are different between two soil types—big taproot at sandy site, no real taproot at finer site.
Sampled soil and plant isotopes one day before irrigation and days 1,2,4,6,8,11, and 14 after irrigation.
Also measured predawn leaf water potential.
Short-term C-13 fixation into soluble leaf carbohydrates was used to evaluate photosynthetic response to irrigation.</t>
  </si>
  <si>
    <t>Results: Sandy-loam showed larger changes in relative volumetric water content between 10-50 cm depths than loamy-clay following both large and small precip pulses. 
Wetting front got deeper on sandy soils, big, fast changes with big event, small event slowly drained down to 50 cm by day 14.
Much smaller changes on loamy clay.
Water stress was relieved more on sandy soils than clay soils for small pulse, but looked the same for big pulse (here is some evidence for short-term ITE)—but sandy soils kept more negative values after irrigation.
Pulse water uptake decreased more rapidly on loamy-clay than sandy-loam after reaching a maximum at day 4 for large event.
Small event: percent pulse uptake was greater on sandy-loam than loamy-clay.
Discussion: Clay layer in loamy-clay soil restricts percolation and effectiveness of precip for mesquite.
Mesquite could get more water from the small pulse on coarse- than finer site.
Big events did great for everyone, but coarser-textured site responded more to small than finer textured site.</t>
  </si>
  <si>
    <t>Cite ITE as most likely due to faster infiltration rates and deeper percolation meaning less loss to evaporation.
This is a very important paper providing insight into short-term ITE! We see that the difference between textures is clearest at small event sizes. Still, note "small" event was 10 mm--larger than many events in drylands.</t>
  </si>
  <si>
    <t>Renne, R.R., Bradford, J.B., Burke, I.C., Lauenroth, W.K., 2019. Soil texture and precipitation seasonality influence plant community structure in North American temperate shrub steppe. Ecology 100, e02824.</t>
  </si>
  <si>
    <t>https://doi.org/10.1002/ecy.2824</t>
  </si>
  <si>
    <t xml:space="preserve">Holdo, R.M., Onderdonk, D.A., Barr, A.G., Mwita, M., Anderson, T.M., 2020. Spatial transitions in tree cover are associated with soil hydrology, but not with grass biomass, fire frequency, or herbivore biomass in Serengeti savannahs. Journal of Ecology 108, 586–597. </t>
  </si>
  <si>
    <t>https://doi.org/10.1111/1365-2745.13303</t>
  </si>
  <si>
    <t>"We tested the hypotheses that (a) tree cover is positively associated with drainage rates, (b) that soils from open and woody sites differ in terms of field capacity and wilting point, and (c) that open sites experience more water stress than woody sites. Simultaneously, we collected data on grass biomass, fire frequency, and herbivore occupancy to examine the alternative hypotheses that differences in woody cover are driven by disturbance, herbivory, and/or tree–grass interactions."</t>
  </si>
  <si>
    <t>Conducted study in savannah area of Serengeti National Park in areas with MAP 626-814 mm.
Aerial/sattelite imagery to determine tree cover along transects and around seedling and soil water sensor locations.
Used soil moisture sensors with data loggers at 10 locations on each of 8 transects.
Generated soil moisture retention curves per transect; one from treed areas and one from grassy areas.
Estimated drainage rates as slope of SWC over time in first 5 days after wetting to field capacity based on data-logger records.
Estimated infiltration as first SWC value of each descending segment @ 10 cm from data-loggers.
Also calculated mean proportion of time each habitat type was under "stressed" conditions (SWP &lt; -1.5 MPa) for each transect.
Used a light-bar to detect light above and below grass canopy to estimate biomass.</t>
  </si>
  <si>
    <r>
      <t xml:space="preserve">Tree cover varied from 0.026 to 0.133 across transects and varied substantially within transects.
Clear diffs in soil moisture retention curves between habitats. Open habitats had higher field capacities than treed habitats and treed habitats had less negative water potentials for a given soil water content. Soil from open habitats reachd wilting point at higher soil water content, too. Also faster drainage in woody habitats, and there was clear positive relationship between drainage and tree cover. Only weak evidence for more stressed time in open vs woody habitats. 
</t>
    </r>
    <r>
      <rPr>
        <b/>
        <sz val="11"/>
        <color theme="1"/>
        <rFont val="Aptos Narrow"/>
        <family val="2"/>
        <scheme val="minor"/>
      </rPr>
      <t xml:space="preserve">
Seems like both habitats got equal amounts of water from rain events and it was differences in drainage to deeper soils that mattered!
</t>
    </r>
    <r>
      <rPr>
        <sz val="11"/>
        <color theme="1"/>
        <rFont val="Aptos Narrow"/>
        <family val="2"/>
        <scheme val="minor"/>
      </rPr>
      <t xml:space="preserve">
Grass biomass did not relate to habitat type or tree cover (except in 1 transect).
No difference in fire frequency between habitats. Browser metabolic mass was higher in woody than open habitats. No difference in overall berb metabolic mass.
Clear hyrological controls on tree cover in this region! Fire frequency, tree-grass interactions, and herbivory don't seem to matter.</t>
    </r>
  </si>
  <si>
    <t>"Our main objective was to achieve a more complete understanding of the interacting influence of both precipitation regime and soil texture on plant functional composition in temperate drylands by analyzing the influence of warm- and cold-season precipitation on grasses and woody plants for a region where both plant functional types are supported across a broad range of precipitation regimes and soil textures. We additionally aimed to investigate the ubiquity of the inverse-texture effect by exploring its potential influence on a variety of plant functional types."
"(1) Is there evidence of soil-water resource partitioning between grasses and shrubs in big sagebrush ecosystems? (2) Are the relationships of plant functional types with seasonal precipitation modified by soil texture as hypothesized by the inverse-texture effect? (3) How does the relationship between plant cover and precipitation change with different criteria for coarse- and fine-textured soils?"</t>
  </si>
  <si>
    <t xml:space="preserve">Used AIM data, 2011-2015, 2084 total plots. </t>
  </si>
  <si>
    <t>Cites faster drainage rates for ITE, and thinks "taller, denser" vegetation is woody plants.
Very nice study taking a very close look at soil characteristics by measurement rather than inferring soil water dynamics from soil texture. Here it seems like it's really differences in drainage rate that matter--and given the measurement I think this is something like a measure of the amount of water that escapes below the zone of bare soil evap.</t>
  </si>
  <si>
    <t>I wonder how to simply explore the coarsening of soil--e.g., we can replace clay with sand, silt with sand, or some mix of clay and silt with sand to achieve a gradient from fine-to-coarse soils. How does the choice of this gradient affect our abilityto detect ITE. Certainly silt is coarser than clay, and silt may have some special characteristics (i.e., WHC similar to clays but much higher water availabilty at a give SWC).
"our results suggest that the magnitude of the inverse-texture effect changes monotonically as soils become increasingly coarse"
---&gt; Herbaceous and grass FT's seemed to be more sensitive to texture than shrubs. Why--is it because they rely on summer precip that is more vulnerable to evap anyway?
"The texture divisions where the effect became apparent were different for each plant functional type and differences in plant cover were greatest at the extremes of soil texture." ---&gt; SO, seems like each PFT is having its own experience of ITE. The point where benefits (evap loss)are outweighed by costs (drainage loss) depend on plant characteristics.</t>
  </si>
  <si>
    <t xml:space="preserve">Texture was a significant predictor with at least one precipitation component for all PFTs except cheatgrass; largest differences were seen at the extremes (comparing 10% sand to 80% sand categories).
ITE appears switched for "less-relevant" component of precip for different growth forms (e.g., warm-season precip for shrubs).
"This suggests that the inverse-texture effect may be a universal phenomenon in drylands, but finding it depends on choosing an appropriate texture division. Questions about the inverse-texture effect might be best framed not in terms of “if” there is an effect, but where along a texture gradient it occurs under a particular set of environmental conditions."
</t>
  </si>
  <si>
    <t>"In this study, we used the DAY CENT ecosystem model (Parton et al., 1998 ) to study the daily vegetation dynamics and quantitatively estimated how much of the changes in plant production were attributable to the limited supplies of water and nutrients (e.g., N) in two different Mongolian grasslands (steppe and desert steppe)."</t>
  </si>
  <si>
    <t>Study sites: 145 mm MAP with 117 in growing season, 0.9C MAT (semi-arid) and 85 mm MAP with 72 in growing season, 5C MAT (arid). 
Simulated with 10 cm coarse material on top of soil (99% sand).
Evaluated if main limitation on plant growth was water stress, nitrogen stress, or some combination.</t>
  </si>
  <si>
    <t>Water stress was most important at both sites. At semi-arid site, N stress was relevant, but it really was just water stress at the arid site and water stress was more common under eroded scenario than actual conditions.
In the semi-arid site, wind-eroded scenario had slightly higher production (it was big decrease at arid site).</t>
  </si>
  <si>
    <t>Simulation study. Really, this appears to show the opposite of ITE, with a coarse layer of topsoil reducing productivity at the drier site and increasing productivity at the wetter site. Not quite sure why this would be. This isn't really an ITE study, not sure why I included it here.</t>
  </si>
  <si>
    <r>
      <t xml:space="preserve">Motivation: </t>
    </r>
    <r>
      <rPr>
        <sz val="10"/>
        <color rgb="FF222222"/>
        <rFont val="Arial"/>
        <family val="2"/>
      </rPr>
      <t>“While the sensitivity of agricultural crop productivity to soil texture and topography has been confirmed in numerous studies, the relationship between natural vegetation productivity and soil texture remains sketchy” (LOL)</t>
    </r>
  </si>
  <si>
    <t>Study motivated by precision agriculture’s approach of targeting water and other inputs based on local soil texture and topography—agronomy has lots of great examples of soil texture controlling drainage, water redistribution, and soil aeration, all of which influence crop productivity. Yields are particularly impacted by soil texture in dry years (cites studies showing that yields are higher on fine- than coarse-textured soils for crops—is this a shallow crop roots issue??)
Approach: Compared natural vegetation and crop response to rainfall anomalies and soil texture at different spatial and temporal scales. Used GPP as metric of productivity (in dry and wet years); local scale = field to 0.1 km; regional scale = remote sensing based GPP from MODIS at 0.5 km resolution Used sand content from SoilGrids with 250m resolution, for temporatl change in GPP used soil texture from another paper.
Dry year gets &lt;80% long-term average rainfall, wet year gets &gt;120%, then chose driest and wettest years if &gt;1.
3 analyses: 1) Local scale GPP: directly measured GPP from literature for crop yield and FLUXNET for natural vegetation; soil texture from SoilGrids
2) Regional scale, temporal variation: deduced from MODIS with rainfall for different soil texture classes for some regions in US and Africa with soil texture measured from literature.
3) Regional scale, spatial variation: kept crop and vegetation "plots" near to one another.</t>
  </si>
  <si>
    <t>Decreasing crop yield with increasing sand found in both arid and temperate climates in dry year, but in wet year, increased crop yield with increasing sand in arid climate.
---&gt;This probably corresponds to a lack of coordination between rooting depth of crops and depth of available soil water.
Increasing yield with sand content in natural vegetation in arid climate, for both wet and dry years (stronger in wet years)—here we have inverse texture effect!
In natural vegetation, rainfall strongly coupled to GPP, especially on coarse-textured soils in arid climates. Weaker in temperate climate, but within temperate, stronger coupling with finer-textured soils.
Crops much less correlated to rainfall.
Regionally, relationships between sand content and GPP were not detectable (Good supporting evidence for my gripes against remotely-sensed ITE studies).</t>
  </si>
  <si>
    <t>So, it appears that mismatch of roots to soil water depth distribution can obscure ITE--in other words, shallow-rooted crops still prefer fine soils bc these keep more water at depths relevant to their growth.
Note that this study also highlights limitations of remotely-sense ITE studies.</t>
  </si>
  <si>
    <t>Küçük, Ç., Koirala, S., Carvalhais, N., Miralles, D.G., Reichstein, M., Jung, M., 2022. Characterizing the Response of Vegetation Cover to Water Limitation in Africa Using Geostationary Satellites. J Adv Model Earth Syst 14, e2021MS002730.</t>
  </si>
  <si>
    <t>https://doi.org/10.1029/2021MS002730</t>
  </si>
  <si>
    <t>Geostationary satellite to estimate fractional vegetation cover (FVC), modeled soil water content, sand from SoilGrids, elevation model for distance to nearest drainage and topographic wetness index, rooting depth products, lidar-derived canopy height, MODIS estimates of tree cover.
Estimated min and max FVC, decay rate, and integral over decay.</t>
  </si>
  <si>
    <t xml:space="preserve">Tested for ITE at 5 km resolution, but did not find clear evidence of ITE. </t>
  </si>
  <si>
    <t>Note ITE is probably due to enhanced infiltration and hydraulic conductivity that reduce evaporation loss and/or bc of reduced water stress associated with llower matrix potentials of sandy soils.
Lack of ITE at this resolution is ANOTHER example of coarse-grain remote-sensing based analyses failing. We can't know if there is or is not an ITE because too much uncertainty in dataests (error and resolution).</t>
  </si>
  <si>
    <t xml:space="preserve">Zhu, X., Liu, H., Xu, C., Wu, L., Shi, L., Liu, F., 2022. Soil coarsening alleviates precipitation constraint on vegetation growth in global drylands. Environ. Res. Lett. 17, 114008. </t>
  </si>
  <si>
    <t>https://doi.org/10.1088/1748-9326/ac953f</t>
  </si>
  <si>
    <t>“We aim to obtain a more comprehensive understanding of whether soil can buffer vegetation growth from rainfall supply limitation by effective precipitation redistribution.”</t>
  </si>
  <si>
    <t>Drought is complicated and we’re starting to think about 3 kinds: meteorological (low precipitation), hydrological (low water supply) and agricultural/ecological (plant water stress).
AVHRR NDVI data 1982-2015, precip is 0.5 degree Climate Research Unit datasets, 0.25 degree resolution of satellite-derived soil moisture, also GPP estimates from satellite, soil texture from harmonized world soil database.</t>
  </si>
  <si>
    <t>In arid areas, the area with precip and soil moisture constraint are about equal, but area with soil moisture constraint in semi-arid and dry sub-humid is about twice as much as precip constraint. Coaser-textured soil seems to buffer against rainfall deficit most in arid and semi-arid, but less so in sub-humid regions.</t>
  </si>
  <si>
    <t>Very low quality paper, poorly written. Citations seem off sometimes. I guess the main take-away is that, especially in arid and semi-arid systems, coarse-textured soils have enhanced productivity relative to average soils.</t>
  </si>
  <si>
    <t>"We analyzed the soil texture effect on vegetation using the remotely sensed vegetation data (MODIS/NDVI) and the soil profile texture data at 6851 sites in the temperate grassland of China, with the aims to answer following three questions: (i) Does the inverse texture effect exist, and to what extent it influences vegetation, in the temperate grassland of China? (ii) Is there a precipitation threshold (Pθ) below which the inverse texture effect occurs, and how does the Pθ vary with soil texture and precipitation? (iii) What can be used as a benchmark against which to gauge the soil texture effect on vegetation so that the effect can be compared among ecosystems?"</t>
  </si>
  <si>
    <t>Used NDVI from MODIS at 1 km resolution 2000-2020 as proxy for vegetation cover. Used maximum value composite for each month. Calculated annual mean NDVI, mean NDVI for growing season and for non-growing season for each year, plus mean annual NDVI over the full period.
Used soil profile data of digital soil map of China at 250m resolution. Used texture in 0-30cm, split at 50% sand. Later used soil texture classes for benchmarking.
Terra Climate from GEE for annual, seasonal, and mean annual precipitation (4 km resolution). Ended u pwit 6851 sites.</t>
  </si>
  <si>
    <t xml:space="preserve">We see clear evidence of ITE with higher slope and lower intercept on fine (&lt;50% sand) than coarse-textured soils. This held for normal, wet, and dry year annual precip, mean annual precip, and growing-season precip, but not non-growing season precip.
Crossover point increased with annual precip (216 in dry years, 245 in normal, and 301 mm in wet years). Average over 21 year period wsa 260 mm. In some years it got as low as 150 mm an din others as high as 320 mm.
</t>
  </si>
  <si>
    <t>Attributes ITE to rapid infiltration and reduced evaporation, niche differentiation between grasses and woody plants, and higher SWP at low SWC on coarse-textured soils, switch happens at higher precip because of losses to deep drainage.
I think it's a bit weird to use loam soil as a benchmark, given special properties of loam. I also don't really see the use of loam as a benchmark. The only effect is to tilt the NDVI ~ ppt lines for each soil texture so that loam is parallel with the x-axis. We gain nothing from this analysis---except maybe to note that silt loam and clay loam aren't significantly different from loam.
It is useful to think about differences in crossover point across years with different precipitation--we see lower crossover in dry years and higher in wet years. This is a hint at shorter-term ITE.</t>
  </si>
  <si>
    <t>"In this study, we explored how the interrelated pathways between climate and soil variables shape the relationship between tree species richness and AGC storage, while also accounting for the potential mediation effects of stand structural attributes. We used data from 209 inventory plots in West African tree savannas, a largely underrepresented ecosystem in the current literature."
We "Assessed how species richness and AGC are influenced by soil variables such as pH, soil organic carbon and soil texture (sand, silt, and clay content) under contrasting climate (lower vs. higher MAP/MAT) conditions. Soil physico-chemical properties are important factors that alter local conditions for tree growth and survival41–43. In line with the inverse-texture hypothesis29,30, we predicted that (2) increasing fine particle content (e.g., silt and clay) in the soil would be associated with lower species richness and AGC across all sites and more strongly on sites with lower MAP."</t>
  </si>
  <si>
    <t>South Afria semi-arid tree/shrub savannas, MAP 700-1300mm, primarily May-Oct. MAT 24 - 32 C.
DBH and height for all trees DBH &gt;=5cm, and this included shrubs.
Env variables: elevation, slope (DEM), MAP, MAT (1km resolution database), soil data (Africa Soil Profiles database, 250m resolution). 
Diversity metric was richness, AGB estimated using equations with DBH + height measurements + wood density from a database, AGC calculated using C fraction of 0.5.
Stand density and tree size variation (coeff var of DBH) were stand structure variables.</t>
  </si>
  <si>
    <t>Species richness explained 12% of variation in AGC (postive relationship), significant interaction with MAP but not MAT. Higher AGC in dry sites with low SR; higher AGC in wet sites with high SR.
At low MAP, no soil properties were associated with SR. Higher MAP, increasing SOC, sand and silt were related to SR. Sand incrased and clay decreased AGC, with larger effects on both sides for wetter sites. Clay was especially bad for AGC at drier sites. SR and AGC were reduced in finer soils. Stand structure and soil variables were more important than SR or MAP to explain AGC.
Soil effects were most important at drier sites.</t>
  </si>
  <si>
    <t>Ok, nice ITE for woody plants in south African semi-arid savannas.</t>
  </si>
  <si>
    <t>Generally use this metric of stressed water use over a year and explores what conditions (environmental or vegetation characteristics) maximize this stressed water use, seen as an optimal tradeoff between water use and stress avoidance.
Three scales:
1. Regional transect in southern Africa, Kalahari Transect, from 1000 mm to 250 mm MAP. Soil type is fairly consistent sand. Note that previous work suggests water is main limiting factor where wet season precip is 700 mm or less.
2. River basins have three sources of variation in water availability: 1. elevational precip gradients, 2. PET across different parts of basin, 3. soil moisture gradients from distribution of veg, soil, and climate.
3. Variation in soil moisture within a smaller scale, e.g., thinking about canopies of individual trees. This model again looks to Kalahari for climate, soil, and vegetation parameters.
4. Notes differences in acacia stands between sandy (few, large trees) and clayey soils (many smaller trees) as evidence of Noy-Meir's ITE.</t>
  </si>
  <si>
    <t>Think ITE means woody plants</t>
  </si>
  <si>
    <r>
      <t>Hypothesis:</t>
    </r>
    <r>
      <rPr>
        <sz val="10"/>
        <color rgb="FF222222"/>
        <rFont val="Arial"/>
        <family val="2"/>
      </rPr>
      <t xml:space="preserve"> soil texture and topography modify soil moisture to favor or prevent shrub encroachment, upper limit of shrub cover would be higher on sandier soils and in settings receiving run-on.</t>
    </r>
  </si>
  <si>
    <t>NA</t>
  </si>
  <si>
    <t>Africa</t>
  </si>
  <si>
    <t>Australia</t>
  </si>
  <si>
    <t>North America</t>
  </si>
  <si>
    <t>Asia</t>
  </si>
  <si>
    <t>Global</t>
  </si>
  <si>
    <t>Continent</t>
  </si>
  <si>
    <t>Count</t>
  </si>
  <si>
    <t>Percentage</t>
  </si>
  <si>
    <t>This paper also mentions that partitioning of precip among the various flows depends on vegetation characteristics, including rooting depth.
Weird that their runoff is higher on sands than clays?? Note that this is because their "runoff" is more like drainage.
Important nuance to ITE--loams have highest transpiration at low PPT, with sands slightly higher than clays.
Very nice study of a single, relatively wet site wtih factoral combinations of climate and environmental characteristics. This is exactly what we need to understand ITE, and similar to what I'd like to do for our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</si>
</sst>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b/>
      <sz val="10"/>
      <color rgb="FF222222"/>
      <name val="Arial"/>
      <family val="2"/>
    </font>
    <font>
      <sz val="10"/>
      <color rgb="FF222222"/>
      <name val="Arial"/>
      <family val="2"/>
    </font>
    <font>
      <sz val="11"/>
      <name val="Aptos Narrow"/>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0"/>
        <bgColor theme="0" tint="-0.14999847407452621"/>
      </patternFill>
    </fill>
    <fill>
      <patternFill patternType="solid">
        <fgColor theme="0"/>
        <bgColor indexed="64"/>
      </patternFill>
    </fill>
  </fills>
  <borders count="15">
    <border>
      <left/>
      <right/>
      <top/>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top style="thin">
        <color indexed="64"/>
      </top>
      <bottom/>
      <diagonal/>
    </border>
    <border>
      <left style="thin">
        <color theme="1"/>
      </left>
      <right style="thin">
        <color theme="1"/>
      </right>
      <top style="thin">
        <color indexed="64"/>
      </top>
      <bottom/>
      <diagonal/>
    </border>
    <border>
      <left style="thin">
        <color theme="1"/>
      </left>
      <right style="thin">
        <color theme="1"/>
      </right>
      <top style="thin">
        <color theme="1"/>
      </top>
      <bottom style="thin">
        <color indexed="64"/>
      </bottom>
      <diagonal/>
    </border>
    <border>
      <left style="thin">
        <color theme="1"/>
      </left>
      <right/>
      <top style="thin">
        <color theme="1"/>
      </top>
      <bottom style="thin">
        <color indexed="64"/>
      </bottom>
      <diagonal/>
    </border>
    <border>
      <left/>
      <right style="thin">
        <color theme="1"/>
      </right>
      <top/>
      <bottom style="thin">
        <color indexed="64"/>
      </bottom>
      <diagonal/>
    </border>
    <border>
      <left style="thin">
        <color indexed="64"/>
      </left>
      <right style="thin">
        <color theme="1"/>
      </right>
      <top/>
      <bottom style="thin">
        <color theme="1"/>
      </bottom>
      <diagonal/>
    </border>
    <border>
      <left style="thin">
        <color indexed="64"/>
      </left>
      <right style="thin">
        <color theme="1"/>
      </right>
      <top style="thin">
        <color theme="1"/>
      </top>
      <bottom style="thin">
        <color indexed="64"/>
      </bottom>
      <diagonal/>
    </border>
    <border>
      <left style="thin">
        <color indexed="64"/>
      </left>
      <right style="thin">
        <color theme="1"/>
      </right>
      <top style="thin">
        <color indexed="64"/>
      </top>
      <bottom style="thin">
        <color theme="1"/>
      </bottom>
      <diagonal/>
    </border>
    <border>
      <left style="thin">
        <color indexed="64"/>
      </left>
      <right style="thin">
        <color indexed="64"/>
      </right>
      <top style="thin">
        <color indexed="64"/>
      </top>
      <bottom style="thin">
        <color indexed="64"/>
      </bottom>
      <diagonal/>
    </border>
    <border>
      <left/>
      <right/>
      <top style="thin">
        <color theme="1"/>
      </top>
      <bottom style="thin">
        <color indexed="64"/>
      </bottom>
      <diagonal/>
    </border>
    <border>
      <left/>
      <right/>
      <top style="thin">
        <color indexed="64"/>
      </top>
      <bottom/>
      <diagonal/>
    </border>
    <border>
      <left style="thin">
        <color indexed="64"/>
      </left>
      <right style="thin">
        <color indexed="64"/>
      </right>
      <top style="thin">
        <color indexed="64"/>
      </top>
      <bottom style="thin">
        <color theme="1"/>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2" borderId="3" xfId="0" applyFont="1" applyFill="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0" borderId="0" xfId="0" applyAlignment="1">
      <alignment horizontal="left" vertical="center" indent="2"/>
    </xf>
    <xf numFmtId="0" fontId="3" fillId="0" borderId="0" xfId="1" applyAlignment="1">
      <alignment horizontal="left" vertical="center" indent="2"/>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0" borderId="7" xfId="0" applyFont="1" applyBorder="1" applyAlignment="1">
      <alignment horizontal="left" vertical="center"/>
    </xf>
    <xf numFmtId="0" fontId="0" fillId="3" borderId="0" xfId="0" applyFill="1" applyAlignment="1">
      <alignment horizontal="center" vertical="center" wrapText="1"/>
    </xf>
    <xf numFmtId="0" fontId="0" fillId="3" borderId="8" xfId="0" applyFill="1" applyBorder="1" applyAlignment="1">
      <alignment vertical="center" wrapText="1"/>
    </xf>
    <xf numFmtId="0" fontId="0" fillId="0" borderId="9" xfId="0" applyBorder="1" applyAlignment="1">
      <alignment vertical="center" wrapText="1"/>
    </xf>
    <xf numFmtId="0" fontId="0" fillId="0" borderId="1" xfId="0" applyBorder="1" applyAlignment="1">
      <alignment horizontal="center" vertical="center" wrapText="1"/>
    </xf>
    <xf numFmtId="0" fontId="0" fillId="2" borderId="3" xfId="0" applyFill="1" applyBorder="1" applyAlignment="1">
      <alignment horizontal="center" vertical="center" wrapText="1"/>
    </xf>
    <xf numFmtId="0" fontId="0" fillId="3" borderId="10" xfId="0" applyFill="1" applyBorder="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xf numFmtId="0" fontId="0" fillId="3" borderId="1" xfId="0" applyFill="1" applyBorder="1" applyAlignment="1">
      <alignment vertical="center" wrapText="1"/>
    </xf>
    <xf numFmtId="0" fontId="0" fillId="3" borderId="2" xfId="0" applyFill="1" applyBorder="1" applyAlignment="1">
      <alignment vertical="center" wrapText="1"/>
    </xf>
    <xf numFmtId="0" fontId="0" fillId="3" borderId="0" xfId="0" applyFill="1" applyAlignment="1">
      <alignment vertical="center"/>
    </xf>
    <xf numFmtId="0" fontId="0" fillId="4" borderId="3" xfId="0" applyFill="1" applyBorder="1" applyAlignment="1">
      <alignment vertical="center" wrapText="1"/>
    </xf>
    <xf numFmtId="0" fontId="0" fillId="4" borderId="4" xfId="0" applyFill="1" applyBorder="1" applyAlignment="1">
      <alignment vertical="center" wrapText="1"/>
    </xf>
    <xf numFmtId="0" fontId="0" fillId="5" borderId="0" xfId="0" applyFill="1" applyAlignment="1">
      <alignment vertical="center"/>
    </xf>
    <xf numFmtId="0" fontId="3" fillId="4" borderId="3" xfId="1" applyFill="1" applyBorder="1" applyAlignment="1">
      <alignment vertical="center" wrapText="1"/>
    </xf>
    <xf numFmtId="0" fontId="3" fillId="0" borderId="6" xfId="1" applyBorder="1" applyAlignment="1">
      <alignment vertical="center" wrapText="1"/>
    </xf>
    <xf numFmtId="0" fontId="0" fillId="0" borderId="12" xfId="0" applyBorder="1" applyAlignment="1">
      <alignment vertical="center" wrapText="1"/>
    </xf>
    <xf numFmtId="0" fontId="4" fillId="0" borderId="11" xfId="0" applyFont="1" applyBorder="1" applyAlignment="1">
      <alignment vertical="center" wrapText="1"/>
    </xf>
    <xf numFmtId="0" fontId="5" fillId="0" borderId="0" xfId="0" applyFont="1" applyAlignment="1">
      <alignment vertical="center"/>
    </xf>
    <xf numFmtId="0" fontId="6" fillId="4" borderId="13" xfId="1" applyFont="1" applyFill="1" applyBorder="1" applyAlignment="1">
      <alignment vertical="center" wrapText="1"/>
    </xf>
    <xf numFmtId="0" fontId="0" fillId="5" borderId="11" xfId="0" applyFill="1" applyBorder="1" applyAlignment="1">
      <alignment vertical="center"/>
    </xf>
    <xf numFmtId="0" fontId="0" fillId="2" borderId="13" xfId="0" applyFill="1" applyBorder="1" applyAlignment="1">
      <alignment vertical="center" wrapText="1"/>
    </xf>
    <xf numFmtId="0" fontId="4" fillId="3" borderId="14" xfId="0" applyFont="1" applyFill="1" applyBorder="1" applyAlignment="1">
      <alignment vertical="center" wrapText="1"/>
    </xf>
    <xf numFmtId="0" fontId="3" fillId="2" borderId="3"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88/1748-9326/ac953f" TargetMode="External"/><Relationship Id="rId2" Type="http://schemas.openxmlformats.org/officeDocument/2006/relationships/hyperlink" Target="https://doi.org/10.1002/ecs2.2590" TargetMode="External"/><Relationship Id="rId1" Type="http://schemas.openxmlformats.org/officeDocument/2006/relationships/hyperlink" Target="https://doi.org/10.1029/2000WR00012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29/2021MS002730" TargetMode="External"/><Relationship Id="rId13" Type="http://schemas.openxmlformats.org/officeDocument/2006/relationships/hyperlink" Target="https://doi.org/10.1111/geb.12761" TargetMode="External"/><Relationship Id="rId3" Type="http://schemas.openxmlformats.org/officeDocument/2006/relationships/hyperlink" Target="https://doi.org/10.1111/geb.12319" TargetMode="External"/><Relationship Id="rId7" Type="http://schemas.openxmlformats.org/officeDocument/2006/relationships/hyperlink" Target="https://doi.org/10.1002/ecs2.2590" TargetMode="External"/><Relationship Id="rId12" Type="http://schemas.openxmlformats.org/officeDocument/2006/relationships/hyperlink" Target="https://doi.org/10.1029/2007JG000539" TargetMode="External"/><Relationship Id="rId2" Type="http://schemas.openxmlformats.org/officeDocument/2006/relationships/hyperlink" Target="https://doi.org/10.1029/2008WR007230" TargetMode="External"/><Relationship Id="rId1" Type="http://schemas.openxmlformats.org/officeDocument/2006/relationships/hyperlink" Target="https://doi.org/10.1111/j.1466-8238.2007.00325.x" TargetMode="External"/><Relationship Id="rId6" Type="http://schemas.openxmlformats.org/officeDocument/2006/relationships/hyperlink" Target="https://doi.org/10.1007/s00442-015-3414-3" TargetMode="External"/><Relationship Id="rId11" Type="http://schemas.openxmlformats.org/officeDocument/2006/relationships/hyperlink" Target="https://doi.org/10.1002/ecy.2824" TargetMode="External"/><Relationship Id="rId5" Type="http://schemas.openxmlformats.org/officeDocument/2006/relationships/hyperlink" Target="https://doi.org/10.1111/1365-2745.13303" TargetMode="External"/><Relationship Id="rId10" Type="http://schemas.openxmlformats.org/officeDocument/2006/relationships/hyperlink" Target="https://doi.org/10.1111/aec.12036" TargetMode="External"/><Relationship Id="rId4" Type="http://schemas.openxmlformats.org/officeDocument/2006/relationships/hyperlink" Target="https://doi.org/10.1029/2000WR000121" TargetMode="External"/><Relationship Id="rId9" Type="http://schemas.openxmlformats.org/officeDocument/2006/relationships/hyperlink" Target="https://doi.org/10.1007/s11104-012-1150-6" TargetMode="External"/><Relationship Id="rId14" Type="http://schemas.openxmlformats.org/officeDocument/2006/relationships/hyperlink" Target="https://doi.org/10.1088/1748-9326/ac953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9E8EC-A29B-471B-8C51-AEF36D7D3EAE}">
  <dimension ref="A1:J32"/>
  <sheetViews>
    <sheetView tabSelected="1" topLeftCell="C1" zoomScale="96" workbookViewId="0">
      <pane ySplit="1" topLeftCell="A30" activePane="bottomLeft" state="frozen"/>
      <selection pane="bottomLeft" activeCell="F30" sqref="F30"/>
    </sheetView>
  </sheetViews>
  <sheetFormatPr defaultRowHeight="14.75" x14ac:dyDescent="0.75"/>
  <cols>
    <col min="1" max="1" width="8.7265625" style="12"/>
    <col min="2" max="2" width="28.54296875" style="10" customWidth="1"/>
    <col min="3" max="3" width="27.2265625" style="10" customWidth="1"/>
    <col min="4" max="4" width="32.6328125" style="10" customWidth="1"/>
    <col min="5" max="5" width="46.86328125" style="10" customWidth="1"/>
    <col min="6" max="6" width="60.6796875" style="10" customWidth="1"/>
    <col min="7" max="7" width="26.40625" style="10" customWidth="1"/>
    <col min="8" max="8" width="55.58984375" style="10" customWidth="1"/>
    <col min="9" max="16384" width="8.7265625" style="10"/>
  </cols>
  <sheetData>
    <row r="1" spans="1:10" x14ac:dyDescent="0.75">
      <c r="A1" s="13" t="s">
        <v>9</v>
      </c>
      <c r="B1" s="1" t="s">
        <v>0</v>
      </c>
      <c r="C1" s="1" t="s">
        <v>1</v>
      </c>
      <c r="D1" s="1" t="s">
        <v>2</v>
      </c>
      <c r="E1" s="1" t="s">
        <v>3</v>
      </c>
      <c r="F1" s="1" t="s">
        <v>4</v>
      </c>
      <c r="G1" s="1" t="s">
        <v>5</v>
      </c>
      <c r="H1" s="2" t="s">
        <v>6</v>
      </c>
      <c r="I1" s="10" t="s">
        <v>184</v>
      </c>
    </row>
    <row r="2" spans="1:10" s="11" customFormat="1" ht="331.75" customHeight="1" x14ac:dyDescent="0.75">
      <c r="A2" s="14">
        <v>1988</v>
      </c>
      <c r="B2" s="15" t="s">
        <v>7</v>
      </c>
      <c r="C2" s="6" t="s">
        <v>8</v>
      </c>
      <c r="D2" s="6" t="s">
        <v>42</v>
      </c>
      <c r="E2" s="6" t="s">
        <v>43</v>
      </c>
      <c r="F2" s="6" t="s">
        <v>44</v>
      </c>
      <c r="G2" s="6"/>
      <c r="H2" s="7"/>
      <c r="I2" s="11">
        <v>0</v>
      </c>
      <c r="J2" s="11" t="s">
        <v>189</v>
      </c>
    </row>
    <row r="3" spans="1:10" ht="409.5" customHeight="1" x14ac:dyDescent="0.75">
      <c r="A3" s="17">
        <v>1989</v>
      </c>
      <c r="B3" s="16" t="s">
        <v>29</v>
      </c>
      <c r="C3" s="4"/>
      <c r="D3" s="4" t="s">
        <v>45</v>
      </c>
      <c r="E3" s="4" t="s">
        <v>46</v>
      </c>
      <c r="F3" s="4" t="s">
        <v>47</v>
      </c>
      <c r="G3" s="4"/>
      <c r="H3" s="5" t="s">
        <v>50</v>
      </c>
      <c r="I3" s="10">
        <v>0</v>
      </c>
      <c r="J3" s="10" t="s">
        <v>189</v>
      </c>
    </row>
    <row r="4" spans="1:10" ht="257.25" customHeight="1" x14ac:dyDescent="0.75">
      <c r="A4" s="18">
        <v>1997</v>
      </c>
      <c r="B4" s="19" t="s">
        <v>15</v>
      </c>
      <c r="C4" s="6" t="s">
        <v>40</v>
      </c>
      <c r="D4" s="6" t="s">
        <v>48</v>
      </c>
      <c r="E4" s="6" t="s">
        <v>49</v>
      </c>
      <c r="F4" s="6" t="s">
        <v>51</v>
      </c>
      <c r="G4" s="3"/>
      <c r="H4" s="7" t="s">
        <v>57</v>
      </c>
      <c r="I4" s="10">
        <v>0</v>
      </c>
      <c r="J4" s="10" t="s">
        <v>189</v>
      </c>
    </row>
    <row r="5" spans="1:10" ht="409.25" customHeight="1" x14ac:dyDescent="0.75">
      <c r="A5" s="17">
        <v>1998</v>
      </c>
      <c r="B5" s="16" t="s">
        <v>27</v>
      </c>
      <c r="C5" s="4" t="s">
        <v>41</v>
      </c>
      <c r="D5" s="4" t="s">
        <v>52</v>
      </c>
      <c r="E5" s="4" t="s">
        <v>53</v>
      </c>
      <c r="F5" s="4" t="s">
        <v>54</v>
      </c>
      <c r="G5" s="4"/>
      <c r="H5" s="5" t="s">
        <v>55</v>
      </c>
      <c r="I5" s="10">
        <v>0</v>
      </c>
      <c r="J5" s="10" t="s">
        <v>189</v>
      </c>
    </row>
    <row r="6" spans="1:10" s="24" customFormat="1" ht="398.25" x14ac:dyDescent="0.75">
      <c r="A6" s="22">
        <v>2001</v>
      </c>
      <c r="B6" s="22" t="s">
        <v>26</v>
      </c>
      <c r="C6" s="22"/>
      <c r="D6" s="22" t="s">
        <v>59</v>
      </c>
      <c r="E6" s="22" t="s">
        <v>58</v>
      </c>
      <c r="F6" s="22" t="s">
        <v>60</v>
      </c>
      <c r="G6" s="22"/>
      <c r="H6" s="23" t="s">
        <v>61</v>
      </c>
      <c r="I6" s="24">
        <v>0</v>
      </c>
      <c r="J6" s="24" t="s">
        <v>187</v>
      </c>
    </row>
    <row r="7" spans="1:10" s="27" customFormat="1" ht="409.5" x14ac:dyDescent="0.75">
      <c r="A7" s="25">
        <v>2001</v>
      </c>
      <c r="B7" s="25" t="s">
        <v>17</v>
      </c>
      <c r="C7" s="28" t="s">
        <v>56</v>
      </c>
      <c r="D7" s="25" t="s">
        <v>62</v>
      </c>
      <c r="E7" s="25" t="s">
        <v>63</v>
      </c>
      <c r="F7" s="25" t="s">
        <v>65</v>
      </c>
      <c r="G7" s="25"/>
      <c r="H7" s="26" t="s">
        <v>64</v>
      </c>
      <c r="I7" s="27">
        <v>0</v>
      </c>
      <c r="J7" s="27" t="s">
        <v>189</v>
      </c>
    </row>
    <row r="8" spans="1:10" s="27" customFormat="1" ht="398.25" x14ac:dyDescent="0.75">
      <c r="A8" s="25">
        <v>2005</v>
      </c>
      <c r="B8" s="25" t="s">
        <v>139</v>
      </c>
      <c r="C8" s="34"/>
      <c r="D8" s="33" t="s">
        <v>140</v>
      </c>
      <c r="E8" s="25" t="s">
        <v>141</v>
      </c>
      <c r="F8" s="25" t="s">
        <v>142</v>
      </c>
      <c r="G8" s="25"/>
      <c r="H8" s="26" t="s">
        <v>143</v>
      </c>
      <c r="I8" s="27">
        <v>0</v>
      </c>
      <c r="J8" s="27" t="s">
        <v>189</v>
      </c>
    </row>
    <row r="9" spans="1:10" ht="162.25" x14ac:dyDescent="0.75">
      <c r="A9" s="6">
        <v>2007</v>
      </c>
      <c r="B9" s="6" t="s">
        <v>10</v>
      </c>
      <c r="C9" s="6"/>
      <c r="D9" s="6" t="s">
        <v>66</v>
      </c>
      <c r="E9" s="6" t="s">
        <v>67</v>
      </c>
      <c r="F9" s="6" t="s">
        <v>68</v>
      </c>
      <c r="G9" s="6"/>
      <c r="H9" s="7" t="s">
        <v>69</v>
      </c>
      <c r="I9" s="10">
        <v>0</v>
      </c>
      <c r="J9" s="10" t="s">
        <v>190</v>
      </c>
    </row>
    <row r="10" spans="1:10" ht="398.25" x14ac:dyDescent="0.75">
      <c r="A10" s="4">
        <v>2007</v>
      </c>
      <c r="B10" s="4" t="s">
        <v>70</v>
      </c>
      <c r="C10" s="4" t="s">
        <v>71</v>
      </c>
      <c r="D10" s="4" t="s">
        <v>72</v>
      </c>
      <c r="E10" s="4" t="s">
        <v>73</v>
      </c>
      <c r="F10" s="4" t="s">
        <v>75</v>
      </c>
      <c r="G10" s="4" t="s">
        <v>74</v>
      </c>
      <c r="H10" s="5" t="s">
        <v>76</v>
      </c>
      <c r="I10" s="10">
        <v>1</v>
      </c>
      <c r="J10" s="10" t="s">
        <v>187</v>
      </c>
    </row>
    <row r="11" spans="1:10" ht="236" x14ac:dyDescent="0.75">
      <c r="A11" s="6">
        <v>2008</v>
      </c>
      <c r="B11" s="6" t="s">
        <v>28</v>
      </c>
      <c r="C11" s="6"/>
      <c r="D11" s="6" t="s">
        <v>77</v>
      </c>
      <c r="E11" s="6" t="s">
        <v>78</v>
      </c>
      <c r="F11" s="6" t="s">
        <v>79</v>
      </c>
      <c r="G11" s="6"/>
      <c r="H11" s="7" t="s">
        <v>80</v>
      </c>
      <c r="I11" s="10">
        <v>0</v>
      </c>
      <c r="J11" s="10" t="s">
        <v>189</v>
      </c>
    </row>
    <row r="12" spans="1:10" ht="118" x14ac:dyDescent="0.75">
      <c r="A12" s="4">
        <v>2008</v>
      </c>
      <c r="B12" s="4" t="s">
        <v>34</v>
      </c>
      <c r="C12" s="4"/>
      <c r="D12" s="4" t="s">
        <v>81</v>
      </c>
      <c r="E12" s="4" t="s">
        <v>82</v>
      </c>
      <c r="F12" s="4" t="s">
        <v>83</v>
      </c>
      <c r="G12" s="4"/>
      <c r="H12" s="5" t="s">
        <v>84</v>
      </c>
      <c r="I12" s="10">
        <v>0</v>
      </c>
      <c r="J12" s="10" t="s">
        <v>187</v>
      </c>
    </row>
    <row r="13" spans="1:10" ht="383.5" x14ac:dyDescent="0.75">
      <c r="A13" s="6">
        <v>2008</v>
      </c>
      <c r="B13" s="6" t="s">
        <v>85</v>
      </c>
      <c r="C13" s="6" t="s">
        <v>86</v>
      </c>
      <c r="D13" s="6" t="s">
        <v>87</v>
      </c>
      <c r="E13" s="6" t="s">
        <v>88</v>
      </c>
      <c r="F13" s="6" t="s">
        <v>89</v>
      </c>
      <c r="G13" s="6"/>
      <c r="H13" s="7" t="s">
        <v>195</v>
      </c>
      <c r="I13" s="10">
        <v>0</v>
      </c>
      <c r="J13" s="10" t="s">
        <v>189</v>
      </c>
    </row>
    <row r="14" spans="1:10" ht="339.25" x14ac:dyDescent="0.75">
      <c r="A14" s="4">
        <v>2009</v>
      </c>
      <c r="B14" s="4" t="s">
        <v>12</v>
      </c>
      <c r="C14" s="4"/>
      <c r="D14" s="4" t="s">
        <v>91</v>
      </c>
      <c r="E14" s="4" t="s">
        <v>90</v>
      </c>
      <c r="F14" s="4" t="s">
        <v>92</v>
      </c>
      <c r="G14" s="4"/>
      <c r="H14" s="5" t="s">
        <v>93</v>
      </c>
      <c r="I14" s="10">
        <v>0</v>
      </c>
      <c r="J14" s="10" t="s">
        <v>189</v>
      </c>
    </row>
    <row r="15" spans="1:10" ht="409.5" x14ac:dyDescent="0.75">
      <c r="A15" s="6">
        <v>2009</v>
      </c>
      <c r="B15" s="6" t="s">
        <v>94</v>
      </c>
      <c r="C15" s="6" t="s">
        <v>95</v>
      </c>
      <c r="D15" s="6" t="s">
        <v>96</v>
      </c>
      <c r="E15" s="6" t="s">
        <v>183</v>
      </c>
      <c r="F15" s="6" t="s">
        <v>98</v>
      </c>
      <c r="G15" s="6"/>
      <c r="H15" s="7" t="s">
        <v>97</v>
      </c>
      <c r="I15" s="10">
        <v>0</v>
      </c>
      <c r="J15" s="10" t="s">
        <v>187</v>
      </c>
    </row>
    <row r="16" spans="1:10" ht="162.25" x14ac:dyDescent="0.75">
      <c r="A16" s="4">
        <v>2009</v>
      </c>
      <c r="B16" s="4" t="s">
        <v>37</v>
      </c>
      <c r="C16" s="4"/>
      <c r="D16" s="4" t="s">
        <v>99</v>
      </c>
      <c r="E16" s="4" t="s">
        <v>100</v>
      </c>
      <c r="F16" s="4" t="s">
        <v>101</v>
      </c>
      <c r="G16" s="4"/>
      <c r="H16" s="5" t="s">
        <v>102</v>
      </c>
      <c r="I16" s="10">
        <v>0</v>
      </c>
      <c r="J16" s="10" t="s">
        <v>190</v>
      </c>
    </row>
    <row r="17" spans="1:10" ht="236" x14ac:dyDescent="0.75">
      <c r="A17" s="6">
        <v>2010</v>
      </c>
      <c r="B17" s="6" t="s">
        <v>14</v>
      </c>
      <c r="C17" s="6"/>
      <c r="D17" s="6" t="s">
        <v>103</v>
      </c>
      <c r="E17" s="6" t="s">
        <v>104</v>
      </c>
      <c r="F17" s="6" t="s">
        <v>105</v>
      </c>
      <c r="G17" s="6"/>
      <c r="H17" s="7" t="s">
        <v>106</v>
      </c>
      <c r="I17" s="10">
        <v>0</v>
      </c>
      <c r="J17" s="10" t="s">
        <v>188</v>
      </c>
    </row>
    <row r="18" spans="1:10" ht="409.5" x14ac:dyDescent="0.75">
      <c r="A18" s="4">
        <v>2012</v>
      </c>
      <c r="B18" s="4" t="s">
        <v>107</v>
      </c>
      <c r="C18" s="4" t="s">
        <v>108</v>
      </c>
      <c r="D18" s="4" t="s">
        <v>109</v>
      </c>
      <c r="E18" s="4" t="s">
        <v>110</v>
      </c>
      <c r="F18" s="4" t="s">
        <v>111</v>
      </c>
      <c r="G18" s="4"/>
      <c r="H18" s="5" t="s">
        <v>112</v>
      </c>
      <c r="I18" s="10">
        <v>0</v>
      </c>
      <c r="J18" s="10" t="s">
        <v>189</v>
      </c>
    </row>
    <row r="19" spans="1:10" ht="368.75" x14ac:dyDescent="0.75">
      <c r="A19" s="6">
        <v>2013</v>
      </c>
      <c r="B19" s="19" t="s">
        <v>113</v>
      </c>
      <c r="C19" s="6" t="s">
        <v>114</v>
      </c>
      <c r="D19" s="6" t="s">
        <v>115</v>
      </c>
      <c r="E19" s="6" t="s">
        <v>116</v>
      </c>
      <c r="F19" s="6" t="s">
        <v>117</v>
      </c>
      <c r="G19" s="6"/>
      <c r="H19" s="7" t="s">
        <v>120</v>
      </c>
      <c r="I19" s="10">
        <v>1</v>
      </c>
      <c r="J19" s="10" t="s">
        <v>188</v>
      </c>
    </row>
    <row r="20" spans="1:10" ht="309.75" x14ac:dyDescent="0.75">
      <c r="A20" s="4">
        <v>2015</v>
      </c>
      <c r="B20" s="4" t="s">
        <v>118</v>
      </c>
      <c r="C20" s="4" t="s">
        <v>119</v>
      </c>
      <c r="D20" s="4" t="s">
        <v>121</v>
      </c>
      <c r="E20" s="4" t="s">
        <v>122</v>
      </c>
      <c r="F20" s="4" t="s">
        <v>124</v>
      </c>
      <c r="G20" s="4"/>
      <c r="H20" s="5" t="s">
        <v>123</v>
      </c>
      <c r="I20" s="10">
        <v>1</v>
      </c>
      <c r="J20" s="10" t="s">
        <v>188</v>
      </c>
    </row>
    <row r="21" spans="1:10" ht="339.25" x14ac:dyDescent="0.75">
      <c r="A21" s="6">
        <v>2015</v>
      </c>
      <c r="B21" s="6" t="s">
        <v>125</v>
      </c>
      <c r="C21" s="6" t="s">
        <v>126</v>
      </c>
      <c r="D21" s="6" t="s">
        <v>127</v>
      </c>
      <c r="E21" s="6" t="s">
        <v>128</v>
      </c>
      <c r="F21" s="6" t="s">
        <v>129</v>
      </c>
      <c r="G21" s="6"/>
      <c r="H21" s="7" t="s">
        <v>130</v>
      </c>
      <c r="I21" s="10">
        <v>0</v>
      </c>
      <c r="J21" s="10" t="s">
        <v>189</v>
      </c>
    </row>
    <row r="22" spans="1:10" ht="409.5" x14ac:dyDescent="0.75">
      <c r="A22" s="20">
        <v>2019</v>
      </c>
      <c r="B22" s="20" t="s">
        <v>131</v>
      </c>
      <c r="C22" s="29" t="s">
        <v>132</v>
      </c>
      <c r="D22" s="31" t="s">
        <v>185</v>
      </c>
      <c r="E22" s="30" t="s">
        <v>133</v>
      </c>
      <c r="F22" s="20" t="s">
        <v>134</v>
      </c>
      <c r="G22" s="20"/>
      <c r="H22" s="21" t="s">
        <v>135</v>
      </c>
      <c r="I22" s="10">
        <v>0</v>
      </c>
      <c r="J22" s="10" t="s">
        <v>189</v>
      </c>
    </row>
    <row r="23" spans="1:10" ht="103.25" x14ac:dyDescent="0.75">
      <c r="A23" s="6">
        <v>2019</v>
      </c>
      <c r="B23" s="6" t="s">
        <v>33</v>
      </c>
      <c r="C23" s="6"/>
      <c r="D23" s="6"/>
      <c r="E23" s="6" t="s">
        <v>136</v>
      </c>
      <c r="F23" s="6" t="s">
        <v>137</v>
      </c>
      <c r="G23" s="6"/>
      <c r="H23" s="7" t="s">
        <v>138</v>
      </c>
      <c r="I23" s="10">
        <v>0</v>
      </c>
      <c r="J23" s="10" t="s">
        <v>189</v>
      </c>
    </row>
    <row r="24" spans="1:10" ht="409.5" x14ac:dyDescent="0.75">
      <c r="A24" s="20">
        <v>2019</v>
      </c>
      <c r="B24" s="20" t="s">
        <v>144</v>
      </c>
      <c r="C24" s="20" t="s">
        <v>145</v>
      </c>
      <c r="D24" s="20" t="s">
        <v>151</v>
      </c>
      <c r="E24" s="20" t="s">
        <v>152</v>
      </c>
      <c r="F24" s="20" t="s">
        <v>155</v>
      </c>
      <c r="G24" s="20"/>
      <c r="H24" s="21" t="s">
        <v>154</v>
      </c>
      <c r="I24" s="10">
        <v>0</v>
      </c>
      <c r="J24" s="10" t="s">
        <v>189</v>
      </c>
    </row>
    <row r="25" spans="1:10" ht="383.5" x14ac:dyDescent="0.75">
      <c r="A25" s="6">
        <v>2020</v>
      </c>
      <c r="B25" s="6" t="s">
        <v>146</v>
      </c>
      <c r="C25" s="6" t="s">
        <v>147</v>
      </c>
      <c r="D25" s="6" t="s">
        <v>148</v>
      </c>
      <c r="E25" s="6" t="s">
        <v>149</v>
      </c>
      <c r="F25" s="6" t="s">
        <v>150</v>
      </c>
      <c r="G25" s="6"/>
      <c r="H25" s="7" t="s">
        <v>153</v>
      </c>
      <c r="I25" s="10">
        <v>1</v>
      </c>
      <c r="J25" s="10" t="s">
        <v>187</v>
      </c>
    </row>
    <row r="26" spans="1:10" ht="147.5" x14ac:dyDescent="0.75">
      <c r="A26" s="20">
        <v>2021</v>
      </c>
      <c r="B26" s="20" t="s">
        <v>24</v>
      </c>
      <c r="C26" s="20"/>
      <c r="D26" s="20" t="s">
        <v>156</v>
      </c>
      <c r="E26" s="20" t="s">
        <v>157</v>
      </c>
      <c r="F26" s="20" t="s">
        <v>158</v>
      </c>
      <c r="G26" s="20"/>
      <c r="H26" s="21" t="s">
        <v>159</v>
      </c>
      <c r="I26" s="10" t="s">
        <v>186</v>
      </c>
      <c r="J26" s="10" t="s">
        <v>190</v>
      </c>
    </row>
    <row r="27" spans="1:10" ht="409.5" x14ac:dyDescent="0.75">
      <c r="A27" s="6">
        <v>2022</v>
      </c>
      <c r="B27" s="6" t="s">
        <v>19</v>
      </c>
      <c r="C27" s="6"/>
      <c r="D27" s="36" t="s">
        <v>160</v>
      </c>
      <c r="E27" s="35" t="s">
        <v>161</v>
      </c>
      <c r="F27" s="6" t="s">
        <v>162</v>
      </c>
      <c r="G27" s="6"/>
      <c r="H27" s="7" t="s">
        <v>163</v>
      </c>
      <c r="I27" s="10">
        <v>0</v>
      </c>
      <c r="J27" s="10" t="s">
        <v>191</v>
      </c>
    </row>
    <row r="28" spans="1:10" ht="132.75" x14ac:dyDescent="0.75">
      <c r="A28" s="20">
        <v>2022</v>
      </c>
      <c r="B28" s="20" t="s">
        <v>164</v>
      </c>
      <c r="C28" s="20" t="s">
        <v>165</v>
      </c>
      <c r="D28" s="20"/>
      <c r="E28" s="20" t="s">
        <v>166</v>
      </c>
      <c r="F28" s="20" t="s">
        <v>167</v>
      </c>
      <c r="G28" s="20"/>
      <c r="H28" s="21" t="s">
        <v>168</v>
      </c>
      <c r="I28" s="10">
        <v>1</v>
      </c>
      <c r="J28" s="10" t="s">
        <v>187</v>
      </c>
    </row>
    <row r="29" spans="1:10" ht="147.5" x14ac:dyDescent="0.75">
      <c r="A29" s="6">
        <v>2022</v>
      </c>
      <c r="B29" s="6" t="s">
        <v>169</v>
      </c>
      <c r="C29" s="37" t="s">
        <v>170</v>
      </c>
      <c r="D29" s="6" t="s">
        <v>171</v>
      </c>
      <c r="E29" s="6" t="s">
        <v>172</v>
      </c>
      <c r="F29" s="6" t="s">
        <v>173</v>
      </c>
      <c r="G29" s="6"/>
      <c r="H29" s="7" t="s">
        <v>174</v>
      </c>
      <c r="I29" s="10">
        <v>0</v>
      </c>
      <c r="J29" s="10" t="s">
        <v>191</v>
      </c>
    </row>
    <row r="30" spans="1:10" ht="265.5" x14ac:dyDescent="0.75">
      <c r="A30" s="20">
        <v>2023</v>
      </c>
      <c r="B30" s="20" t="s">
        <v>18</v>
      </c>
      <c r="C30" s="20"/>
      <c r="D30" s="20" t="s">
        <v>175</v>
      </c>
      <c r="E30" s="20" t="s">
        <v>176</v>
      </c>
      <c r="F30" s="20" t="s">
        <v>177</v>
      </c>
      <c r="G30" s="20"/>
      <c r="H30" s="21" t="s">
        <v>178</v>
      </c>
      <c r="I30" s="10">
        <v>0</v>
      </c>
      <c r="J30" s="10" t="s">
        <v>190</v>
      </c>
    </row>
    <row r="31" spans="1:10" ht="409.5" x14ac:dyDescent="0.75">
      <c r="A31" s="6">
        <v>2023</v>
      </c>
      <c r="B31" s="6" t="s">
        <v>31</v>
      </c>
      <c r="C31" s="6"/>
      <c r="D31" s="6" t="s">
        <v>179</v>
      </c>
      <c r="E31" s="6" t="s">
        <v>180</v>
      </c>
      <c r="F31" s="6" t="s">
        <v>181</v>
      </c>
      <c r="G31" s="6"/>
      <c r="H31" s="7" t="s">
        <v>182</v>
      </c>
      <c r="I31" s="10">
        <v>0</v>
      </c>
      <c r="J31" s="10" t="s">
        <v>187</v>
      </c>
    </row>
    <row r="32" spans="1:10" x14ac:dyDescent="0.75">
      <c r="A32" s="20"/>
      <c r="B32" s="20"/>
      <c r="C32" s="20"/>
      <c r="D32" s="20"/>
      <c r="E32" s="20"/>
      <c r="F32" s="20"/>
      <c r="G32" s="20"/>
      <c r="H32" s="21"/>
      <c r="I32" s="10">
        <f>AVERAGE(I2:I31)</f>
        <v>0.17241379310344829</v>
      </c>
    </row>
  </sheetData>
  <hyperlinks>
    <hyperlink ref="C7" r:id="rId1" xr:uid="{FCD280BE-4DE5-4A4E-975B-3BB644E73861}"/>
    <hyperlink ref="C22" r:id="rId2" xr:uid="{05691EBB-82ED-4B6C-AEDA-15D9E3B4DD4E}"/>
    <hyperlink ref="C29" r:id="rId3" xr:uid="{2B7C7621-DE98-4945-A276-27E724658531}"/>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45C9-E606-4E0F-8C81-36411A6D3186}">
  <dimension ref="A1:A30"/>
  <sheetViews>
    <sheetView workbookViewId="0">
      <selection activeCell="A9" sqref="A9"/>
    </sheetView>
  </sheetViews>
  <sheetFormatPr defaultRowHeight="14.75" x14ac:dyDescent="0.75"/>
  <sheetData>
    <row r="1" spans="1:1" x14ac:dyDescent="0.75">
      <c r="A1" s="8" t="s">
        <v>10</v>
      </c>
    </row>
    <row r="2" spans="1:1" x14ac:dyDescent="0.75">
      <c r="A2" s="9" t="s">
        <v>11</v>
      </c>
    </row>
    <row r="3" spans="1:1" x14ac:dyDescent="0.75">
      <c r="A3" s="8" t="s">
        <v>12</v>
      </c>
    </row>
    <row r="4" spans="1:1" x14ac:dyDescent="0.75">
      <c r="A4" s="9" t="s">
        <v>13</v>
      </c>
    </row>
    <row r="5" spans="1:1" x14ac:dyDescent="0.75">
      <c r="A5" s="8" t="s">
        <v>14</v>
      </c>
    </row>
    <row r="7" spans="1:1" x14ac:dyDescent="0.75">
      <c r="A7" s="9" t="s">
        <v>16</v>
      </c>
    </row>
    <row r="8" spans="1:1" x14ac:dyDescent="0.75">
      <c r="A8" s="9" t="s">
        <v>17</v>
      </c>
    </row>
    <row r="9" spans="1:1" x14ac:dyDescent="0.75">
      <c r="A9" s="8" t="s">
        <v>18</v>
      </c>
    </row>
    <row r="10" spans="1:1" x14ac:dyDescent="0.75">
      <c r="A10" s="8" t="s">
        <v>19</v>
      </c>
    </row>
    <row r="11" spans="1:1" x14ac:dyDescent="0.75">
      <c r="A11" s="9" t="s">
        <v>20</v>
      </c>
    </row>
    <row r="12" spans="1:1" x14ac:dyDescent="0.75">
      <c r="A12" s="9" t="s">
        <v>21</v>
      </c>
    </row>
    <row r="13" spans="1:1" x14ac:dyDescent="0.75">
      <c r="A13" s="9" t="s">
        <v>22</v>
      </c>
    </row>
    <row r="14" spans="1:1" x14ac:dyDescent="0.75">
      <c r="A14" s="8" t="s">
        <v>23</v>
      </c>
    </row>
    <row r="15" spans="1:1" x14ac:dyDescent="0.75">
      <c r="A15" s="8" t="s">
        <v>24</v>
      </c>
    </row>
    <row r="16" spans="1:1" x14ac:dyDescent="0.75">
      <c r="A16" s="9" t="s">
        <v>25</v>
      </c>
    </row>
    <row r="17" spans="1:1" x14ac:dyDescent="0.75">
      <c r="A17" s="8" t="s">
        <v>26</v>
      </c>
    </row>
    <row r="19" spans="1:1" x14ac:dyDescent="0.75">
      <c r="A19" s="8" t="s">
        <v>28</v>
      </c>
    </row>
    <row r="21" spans="1:1" x14ac:dyDescent="0.75">
      <c r="A21" s="9" t="s">
        <v>30</v>
      </c>
    </row>
    <row r="22" spans="1:1" x14ac:dyDescent="0.75">
      <c r="A22" s="8" t="s">
        <v>31</v>
      </c>
    </row>
    <row r="23" spans="1:1" x14ac:dyDescent="0.75">
      <c r="A23" s="9" t="s">
        <v>32</v>
      </c>
    </row>
    <row r="24" spans="1:1" x14ac:dyDescent="0.75">
      <c r="A24" s="8" t="s">
        <v>33</v>
      </c>
    </row>
    <row r="25" spans="1:1" x14ac:dyDescent="0.75">
      <c r="A25" s="8" t="s">
        <v>34</v>
      </c>
    </row>
    <row r="26" spans="1:1" x14ac:dyDescent="0.75">
      <c r="A26" s="9" t="s">
        <v>35</v>
      </c>
    </row>
    <row r="27" spans="1:1" x14ac:dyDescent="0.75">
      <c r="A27" s="9" t="s">
        <v>36</v>
      </c>
    </row>
    <row r="28" spans="1:1" x14ac:dyDescent="0.75">
      <c r="A28" s="8" t="s">
        <v>37</v>
      </c>
    </row>
    <row r="29" spans="1:1" x14ac:dyDescent="0.75">
      <c r="A29" s="9" t="s">
        <v>38</v>
      </c>
    </row>
    <row r="30" spans="1:1" x14ac:dyDescent="0.75">
      <c r="A30" s="9" t="s">
        <v>39</v>
      </c>
    </row>
  </sheetData>
  <hyperlinks>
    <hyperlink ref="A2" r:id="rId1" display="https://doi.org/10.1111/j.1466-8238.2007.00325.x" xr:uid="{BD85D50B-B27E-4996-8FA7-A748BB421DED}"/>
    <hyperlink ref="A4" r:id="rId2" display="https://doi.org/10.1029/2008WR007230" xr:uid="{1DD8FFBC-A6E1-4B79-9901-3830A09BEACF}"/>
    <hyperlink ref="A7" r:id="rId3" display="https://doi.org/10.1111/geb.12319" xr:uid="{8EFB8C7C-7144-41D1-A880-B4720369159F}"/>
    <hyperlink ref="A8" r:id="rId4" display="https://doi.org/10.1029/2000WR000121" xr:uid="{8FE24A56-EF54-4CFA-A65A-398CB88CE924}"/>
    <hyperlink ref="A11" r:id="rId5" display="https://doi.org/10.1111/1365-2745.13303" xr:uid="{86EE98DC-BDF8-4508-A5CF-4A1A49B7818B}"/>
    <hyperlink ref="A12" r:id="rId6" display="https://doi.org/10.1007/s00442-015-3414-3" xr:uid="{109DCD40-76B3-48B9-B7EF-D811F60E6C41}"/>
    <hyperlink ref="A13" r:id="rId7" display="https://doi.org/10.1002/ecs2.2590" xr:uid="{BCE629A2-C4F6-43F8-AC62-2A3A2D9DFDA0}"/>
    <hyperlink ref="A16" r:id="rId8" display="https://doi.org/10.1029/2021MS002730" xr:uid="{C9B99E52-2B32-482A-8210-025C21DF5E72}"/>
    <hyperlink ref="A21" r:id="rId9" display="https://doi.org/10.1007/s11104-012-1150-6" xr:uid="{473313A8-7F3F-4EB2-91D7-928E13F8407B}"/>
    <hyperlink ref="A23" r:id="rId10" display="https://doi.org/10.1111/aec.12036" xr:uid="{B25598E6-9702-43C3-B041-8BFF9A456017}"/>
    <hyperlink ref="A26" r:id="rId11" display="https://doi.org/10.1002/ecy.2824" xr:uid="{7E3240AA-DD72-4C45-95BE-F924A362A83E}"/>
    <hyperlink ref="A27" r:id="rId12" display="https://doi.org/10.1029/2007JG000539" xr:uid="{EF43D44D-49AB-464E-9420-A0DD0928EA5E}"/>
    <hyperlink ref="A29" r:id="rId13" display="https://doi.org/10.1111/geb.12761" xr:uid="{7EDE3F05-BBDA-499E-8270-E909EB18AEE5}"/>
    <hyperlink ref="A30" r:id="rId14" display="https://doi.org/10.1088/1748-9326/ac953f" xr:uid="{38055736-A862-4702-9C26-30C43914393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E6BF-2094-40CA-A065-C61A74357BDD}">
  <dimension ref="A1:H31"/>
  <sheetViews>
    <sheetView workbookViewId="0">
      <selection activeCell="H8" sqref="H8"/>
    </sheetView>
  </sheetViews>
  <sheetFormatPr defaultRowHeight="14.75" x14ac:dyDescent="0.75"/>
  <cols>
    <col min="1" max="1" width="15.1328125" style="10" customWidth="1"/>
    <col min="3" max="3" width="14.86328125" customWidth="1"/>
    <col min="7" max="8" width="8.7265625" style="10"/>
  </cols>
  <sheetData>
    <row r="1" spans="1:8" x14ac:dyDescent="0.75">
      <c r="C1" t="s">
        <v>192</v>
      </c>
      <c r="D1" t="s">
        <v>193</v>
      </c>
      <c r="E1" t="s">
        <v>194</v>
      </c>
      <c r="G1" s="10" t="s">
        <v>184</v>
      </c>
    </row>
    <row r="2" spans="1:8" ht="16" customHeight="1" x14ac:dyDescent="0.75">
      <c r="A2" s="11" t="s">
        <v>189</v>
      </c>
      <c r="C2" t="str" cm="1">
        <f t="array" ref="C2:C6">_xlfn.UNIQUE(A2:A31)</f>
        <v>North America</v>
      </c>
      <c r="D2">
        <f>COUNTIF($A$2:$A$31,C2)</f>
        <v>14</v>
      </c>
      <c r="E2">
        <f>ROUND(D2/30*100,0)</f>
        <v>47</v>
      </c>
      <c r="G2" s="10" t="s">
        <v>187</v>
      </c>
      <c r="H2">
        <v>3</v>
      </c>
    </row>
    <row r="3" spans="1:8" x14ac:dyDescent="0.75">
      <c r="A3" s="10" t="s">
        <v>189</v>
      </c>
      <c r="C3" t="str">
        <v>Africa</v>
      </c>
      <c r="D3">
        <f>COUNTIF($A$2:$A$31,C3)</f>
        <v>7</v>
      </c>
      <c r="E3">
        <f>ROUND(D3/30*100,0)</f>
        <v>23</v>
      </c>
      <c r="G3" s="10" t="s">
        <v>188</v>
      </c>
      <c r="H3">
        <v>2</v>
      </c>
    </row>
    <row r="4" spans="1:8" x14ac:dyDescent="0.75">
      <c r="A4" s="10" t="s">
        <v>189</v>
      </c>
      <c r="C4" t="str">
        <v>Asia</v>
      </c>
      <c r="D4">
        <f>COUNTIF($A$2:$A$31,C4)</f>
        <v>4</v>
      </c>
      <c r="E4">
        <f>ROUND(D4/30*100,0)</f>
        <v>13</v>
      </c>
    </row>
    <row r="5" spans="1:8" x14ac:dyDescent="0.75">
      <c r="A5" s="10" t="s">
        <v>189</v>
      </c>
      <c r="C5" t="str">
        <v>Australia</v>
      </c>
      <c r="D5">
        <f>COUNTIF($A$2:$A$31,C5)</f>
        <v>3</v>
      </c>
      <c r="E5">
        <f>ROUND(D5/30*100,0)</f>
        <v>10</v>
      </c>
    </row>
    <row r="6" spans="1:8" x14ac:dyDescent="0.75">
      <c r="A6" s="24" t="s">
        <v>187</v>
      </c>
      <c r="C6" t="str">
        <v>Global</v>
      </c>
      <c r="D6">
        <f>COUNTIF($A$2:$A$31,C6)</f>
        <v>2</v>
      </c>
      <c r="E6">
        <f>ROUND(D6/30*100,0)</f>
        <v>7</v>
      </c>
    </row>
    <row r="7" spans="1:8" x14ac:dyDescent="0.75">
      <c r="A7" s="27" t="s">
        <v>189</v>
      </c>
      <c r="D7">
        <f>SUM(D2:D6)</f>
        <v>30</v>
      </c>
    </row>
    <row r="8" spans="1:8" x14ac:dyDescent="0.75">
      <c r="A8" s="27" t="s">
        <v>189</v>
      </c>
    </row>
    <row r="9" spans="1:8" x14ac:dyDescent="0.75">
      <c r="A9" s="10" t="s">
        <v>190</v>
      </c>
    </row>
    <row r="10" spans="1:8" x14ac:dyDescent="0.75">
      <c r="A10" s="10" t="s">
        <v>187</v>
      </c>
    </row>
    <row r="11" spans="1:8" x14ac:dyDescent="0.75">
      <c r="A11" s="10" t="s">
        <v>189</v>
      </c>
    </row>
    <row r="12" spans="1:8" x14ac:dyDescent="0.75">
      <c r="A12" s="10" t="s">
        <v>187</v>
      </c>
    </row>
    <row r="13" spans="1:8" x14ac:dyDescent="0.75">
      <c r="A13" s="10" t="s">
        <v>189</v>
      </c>
    </row>
    <row r="14" spans="1:8" x14ac:dyDescent="0.75">
      <c r="A14" s="10" t="s">
        <v>189</v>
      </c>
    </row>
    <row r="15" spans="1:8" x14ac:dyDescent="0.75">
      <c r="A15" s="10" t="s">
        <v>187</v>
      </c>
    </row>
    <row r="16" spans="1:8" x14ac:dyDescent="0.75">
      <c r="A16" s="10" t="s">
        <v>190</v>
      </c>
      <c r="B16" s="32"/>
    </row>
    <row r="17" spans="1:1" x14ac:dyDescent="0.75">
      <c r="A17" s="10" t="s">
        <v>188</v>
      </c>
    </row>
    <row r="18" spans="1:1" x14ac:dyDescent="0.75">
      <c r="A18" s="10" t="s">
        <v>189</v>
      </c>
    </row>
    <row r="19" spans="1:1" x14ac:dyDescent="0.75">
      <c r="A19" s="10" t="s">
        <v>188</v>
      </c>
    </row>
    <row r="20" spans="1:1" x14ac:dyDescent="0.75">
      <c r="A20" s="10" t="s">
        <v>188</v>
      </c>
    </row>
    <row r="21" spans="1:1" x14ac:dyDescent="0.75">
      <c r="A21" s="10" t="s">
        <v>189</v>
      </c>
    </row>
    <row r="22" spans="1:1" x14ac:dyDescent="0.75">
      <c r="A22" s="10" t="s">
        <v>189</v>
      </c>
    </row>
    <row r="23" spans="1:1" x14ac:dyDescent="0.75">
      <c r="A23" s="10" t="s">
        <v>189</v>
      </c>
    </row>
    <row r="24" spans="1:1" x14ac:dyDescent="0.75">
      <c r="A24" s="10" t="s">
        <v>189</v>
      </c>
    </row>
    <row r="25" spans="1:1" x14ac:dyDescent="0.75">
      <c r="A25" s="10" t="s">
        <v>187</v>
      </c>
    </row>
    <row r="26" spans="1:1" x14ac:dyDescent="0.75">
      <c r="A26" s="10" t="s">
        <v>190</v>
      </c>
    </row>
    <row r="27" spans="1:1" x14ac:dyDescent="0.75">
      <c r="A27" s="10" t="s">
        <v>191</v>
      </c>
    </row>
    <row r="28" spans="1:1" x14ac:dyDescent="0.75">
      <c r="A28" s="10" t="s">
        <v>187</v>
      </c>
    </row>
    <row r="29" spans="1:1" x14ac:dyDescent="0.75">
      <c r="A29" s="10" t="s">
        <v>191</v>
      </c>
    </row>
    <row r="30" spans="1:1" x14ac:dyDescent="0.75">
      <c r="A30" s="10" t="s">
        <v>190</v>
      </c>
    </row>
    <row r="31" spans="1:1" x14ac:dyDescent="0.75">
      <c r="A31" s="10"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Renne, Rachel</dc:creator>
  <cp:lastModifiedBy>Renne, Rachel</cp:lastModifiedBy>
  <dcterms:created xsi:type="dcterms:W3CDTF">2024-08-26T17:35:29Z</dcterms:created>
  <dcterms:modified xsi:type="dcterms:W3CDTF">2025-08-13T16:34:50Z</dcterms:modified>
</cp:coreProperties>
</file>