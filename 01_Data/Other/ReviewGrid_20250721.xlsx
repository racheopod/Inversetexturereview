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rache\Dropbox\Doctoral_projects\Projects\Inverse_texture\05_Data_Analysis\Part1_Review\01_Data\"/>
    </mc:Choice>
  </mc:AlternateContent>
  <xr:revisionPtr revIDLastSave="0" documentId="13_ncr:1_{D2A873CD-27E2-4B44-84F7-4C79D377D178}" xr6:coauthVersionLast="47" xr6:coauthVersionMax="47" xr10:uidLastSave="{00000000-0000-0000-0000-000000000000}"/>
  <bookViews>
    <workbookView xWindow="57480" yWindow="-120" windowWidth="29040" windowHeight="16440" activeTab="1" xr2:uid="{1D25FD63-1D51-4E6B-A565-75DECE91558D}"/>
  </bookViews>
  <sheets>
    <sheet name="Key papers" sheetId="1" r:id="rId1"/>
    <sheet name="All papers" sheetId="2" r:id="rId2"/>
    <sheet name="Summary" sheetId="3" r:id="rId3"/>
  </sheets>
  <definedNames>
    <definedName name="_xlnm._FilterDatabase" localSheetId="0" hidden="1">'Key papers'!$A$1:$U$34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3" l="1"/>
  <c r="P2" i="3" a="1"/>
  <c r="Q8" i="3" s="1"/>
  <c r="G2" i="3" a="1"/>
  <c r="M2" i="3" a="1"/>
  <c r="M2" i="3" s="1"/>
  <c r="N2" i="3" s="1"/>
  <c r="J2" i="3" a="1"/>
  <c r="J2" i="3" s="1"/>
  <c r="K2" i="3" s="1"/>
  <c r="D2" i="3" a="1"/>
  <c r="D2" i="3" s="1"/>
  <c r="E2" i="3" s="1"/>
  <c r="B14" i="3"/>
  <c r="B49" i="3"/>
  <c r="B29" i="3"/>
  <c r="B42" i="3"/>
  <c r="B45" i="3"/>
  <c r="B50" i="3"/>
  <c r="B30" i="3"/>
  <c r="B48" i="3"/>
  <c r="B27" i="3"/>
  <c r="B37" i="3"/>
  <c r="B31" i="3"/>
  <c r="B51" i="3"/>
  <c r="B35" i="3"/>
  <c r="B25" i="3"/>
  <c r="B44" i="3"/>
  <c r="B33" i="3"/>
  <c r="B39" i="3"/>
  <c r="B38" i="3"/>
  <c r="B34" i="3"/>
  <c r="B28" i="3"/>
  <c r="B47" i="3"/>
  <c r="B43" i="3"/>
  <c r="B52" i="3"/>
  <c r="B41" i="3"/>
  <c r="B32" i="3"/>
  <c r="B40" i="3"/>
  <c r="B23" i="3"/>
  <c r="B24" i="3"/>
  <c r="B46" i="3"/>
  <c r="B26" i="3"/>
  <c r="B17" i="3"/>
  <c r="B20" i="3"/>
  <c r="B16" i="3"/>
  <c r="B21" i="3"/>
  <c r="B18" i="3"/>
  <c r="B15" i="3"/>
  <c r="B11" i="3"/>
  <c r="B36" i="3"/>
  <c r="B12" i="3"/>
  <c r="B19" i="3"/>
  <c r="B13" i="3"/>
  <c r="B8" i="3"/>
  <c r="B9" i="3"/>
  <c r="B10" i="3"/>
  <c r="B7" i="3"/>
  <c r="B4" i="3"/>
  <c r="B5" i="3"/>
  <c r="B6" i="3"/>
  <c r="B3" i="3"/>
  <c r="B2" i="3"/>
  <c r="G2" i="3" l="1"/>
  <c r="H2" i="3" s="1"/>
  <c r="H3" i="3"/>
  <c r="H4" i="3"/>
  <c r="B53" i="3"/>
  <c r="P2" i="3"/>
  <c r="Q2" i="3" s="1"/>
  <c r="Q7" i="3"/>
  <c r="K3" i="3"/>
  <c r="Q6" i="3"/>
  <c r="Q5" i="3"/>
  <c r="Q4" i="3"/>
  <c r="Q3" i="3"/>
  <c r="N3" i="3"/>
  <c r="E8" i="3"/>
  <c r="E7" i="3"/>
  <c r="E6" i="3"/>
  <c r="E5" i="3"/>
  <c r="E9" i="3"/>
  <c r="E4" i="3"/>
  <c r="E3" i="3"/>
  <c r="Q9" i="3" l="1"/>
  <c r="E10" i="3"/>
  <c r="N4" i="3"/>
  <c r="H5" i="3"/>
  <c r="K4" i="3"/>
  <c r="S29" i="1" l="1"/>
  <c r="R29" i="1"/>
  <c r="F30" i="1" a="1"/>
  <c r="F30" i="1" s="1"/>
  <c r="G30" i="1" s="1"/>
  <c r="C30" i="1" a="1"/>
  <c r="C30" i="1" s="1"/>
  <c r="D30" i="1" s="1"/>
  <c r="G32" i="1" l="1"/>
  <c r="G31" i="1"/>
  <c r="D34" i="1"/>
  <c r="D33" i="1"/>
  <c r="D32" i="1"/>
  <c r="D3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<sst xmlns="http://schemas.openxmlformats.org/spreadsheetml/2006/main" count="1617" uniqueCount="667">
  <si>
    <t>Study</t>
  </si>
  <si>
    <t>Time-scale</t>
  </si>
  <si>
    <t>Type</t>
  </si>
  <si>
    <t>Plant types</t>
  </si>
  <si>
    <t>Supports ITE</t>
  </si>
  <si>
    <t>Spatial-scale</t>
  </si>
  <si>
    <t>Key ITE insights</t>
  </si>
  <si>
    <t>Precipitation</t>
  </si>
  <si>
    <t>Temperature</t>
  </si>
  <si>
    <t>Soil texture</t>
  </si>
  <si>
    <t>Continent</t>
  </si>
  <si>
    <t>Africa</t>
  </si>
  <si>
    <t>No</t>
  </si>
  <si>
    <t>(Mensah et al., 2023)</t>
  </si>
  <si>
    <t>Field study</t>
  </si>
  <si>
    <t>Yes</t>
  </si>
  <si>
    <t>Plant community</t>
  </si>
  <si>
    <t>Number of sites</t>
  </si>
  <si>
    <t>tree/shrub savanna</t>
  </si>
  <si>
    <t>trees, shrubs</t>
  </si>
  <si>
    <t xml:space="preserve">Metric </t>
  </si>
  <si>
    <t>Above ground carbon</t>
  </si>
  <si>
    <t>1 km</t>
  </si>
  <si>
    <t>250 m</t>
  </si>
  <si>
    <t>24.6-28.9 C</t>
  </si>
  <si>
    <t>Sand: 30-64.4%; Clay: 17.9-36.9%</t>
  </si>
  <si>
    <t>Asia</t>
  </si>
  <si>
    <t>(Gao and Li, 2023)</t>
  </si>
  <si>
    <t>ITE = Woody plants</t>
  </si>
  <si>
    <t>NDVI</t>
  </si>
  <si>
    <t>Coarse: &gt;50% sand; Fine: &lt;50% sand</t>
  </si>
  <si>
    <t>4 km</t>
  </si>
  <si>
    <t>temperate grassland</t>
  </si>
  <si>
    <t>Remote-sensing</t>
  </si>
  <si>
    <t>Cross-over point depended on annual precipitation: lower in dry years and higher in wet years.
No evidence of ITE for non-growing season precipitation.</t>
  </si>
  <si>
    <t>0.1 ha plots</t>
  </si>
  <si>
    <t>Metric scale</t>
  </si>
  <si>
    <t>1 km pixels</t>
  </si>
  <si>
    <t>-2-4 C</t>
  </si>
  <si>
    <t>50-370 mm</t>
  </si>
  <si>
    <t>grasses, shrubs, and forbs</t>
  </si>
  <si>
    <t>Global</t>
  </si>
  <si>
    <t>(Zhu et al., 2022)</t>
  </si>
  <si>
    <t>global drylands</t>
  </si>
  <si>
    <t>0.05 degree pixels (~6 km at equator)</t>
  </si>
  <si>
    <t>NA</t>
  </si>
  <si>
    <t>all</t>
  </si>
  <si>
    <t>Precipitation scale</t>
  </si>
  <si>
    <t>Temperature scale</t>
  </si>
  <si>
    <t>Soil texture scale</t>
  </si>
  <si>
    <t>Precipitation is more effective on coarser-textured soils in arid and semi-arid ecosystems, and this effect is less important in sub-humid regions.</t>
  </si>
  <si>
    <t>(Küçük et al., 2022)</t>
  </si>
  <si>
    <t>5 km</t>
  </si>
  <si>
    <t>Partial</t>
  </si>
  <si>
    <t>Fractional vegetation cover</t>
  </si>
  <si>
    <t>-</t>
  </si>
  <si>
    <t>Used root-zone soil moisture instead of precipitation</t>
  </si>
  <si>
    <t>Comments</t>
  </si>
  <si>
    <t>Root-zone soil moisture may obscure soil texture effects because it is percentage moisture content--which does not account for differences in matric potential across soil types.</t>
  </si>
  <si>
    <t>(Gupta et al., 2022)</t>
  </si>
  <si>
    <t>field to ~0.1 km</t>
  </si>
  <si>
    <t>0.25 km</t>
  </si>
  <si>
    <t>10 km</t>
  </si>
  <si>
    <t>~56 km</t>
  </si>
  <si>
    <t>~27 km</t>
  </si>
  <si>
    <t>~1 km</t>
  </si>
  <si>
    <t xml:space="preserve">Crop yeild from literature and GPP from FluxNET sites
</t>
  </si>
  <si>
    <t>GPP</t>
  </si>
  <si>
    <t>0.5 km</t>
  </si>
  <si>
    <t>annual</t>
  </si>
  <si>
    <t>average annual, average growing-season, average non-growing season; annual</t>
  </si>
  <si>
    <t>Coarse-scale analysis based on remote-sensing data may obscure effects from soil texture and other variables that vary at a finer scale than the analysis.</t>
  </si>
  <si>
    <t>ITE may not apply to crops because of the mismatch between rooting depth and patterns of soil water availability.
Texture effects are stronger in dry than in wet years for crops.
ITE supported for GPP in natural vegetation during both wet and dry years.</t>
  </si>
  <si>
    <t>Mixed</t>
  </si>
  <si>
    <t>Notes interesting observation that in Africa precipitation and temperature and negatively correlated but this is not so in US.</t>
  </si>
  <si>
    <t>Year</t>
  </si>
  <si>
    <t>(Holdo et al., 2020)</t>
  </si>
  <si>
    <t>Woody plants</t>
  </si>
  <si>
    <t>trees</t>
  </si>
  <si>
    <t>trees, grass</t>
  </si>
  <si>
    <t>Tree cover, grass biomass</t>
  </si>
  <si>
    <t>30 m (tree cover); 1 m2 (grass biomass)</t>
  </si>
  <si>
    <t>Used soil moisture time series from installed sensors</t>
  </si>
  <si>
    <t>Estimated soil water retention curve from field samples</t>
  </si>
  <si>
    <t>16 samples per site</t>
  </si>
  <si>
    <t>temperate and arid climate regions</t>
  </si>
  <si>
    <t>savanna</t>
  </si>
  <si>
    <t>hourly (soil moisture)</t>
  </si>
  <si>
    <t>Treed and herbaceous habitat had similar peak soil water content following precipitation events, but treed habitats had faster drainage.
No difference in grass biomass between woody and herbaceous habitats (ITE not detected).</t>
  </si>
  <si>
    <t>(Renne et al., 2019)</t>
  </si>
  <si>
    <t>North America</t>
  </si>
  <si>
    <t xml:space="preserve">plant cover
</t>
  </si>
  <si>
    <t>2827 m2</t>
  </si>
  <si>
    <t>site-specific</t>
  </si>
  <si>
    <t>Interaction of soil texture and precipitation depends on plant functional type, precipitation seasonality.
ITE is most easily detected at the extremes of soil texture.
ITE affects plant cover and plant community structure.</t>
  </si>
  <si>
    <t>(Ji et al., 2019)</t>
  </si>
  <si>
    <t>shrubs</t>
  </si>
  <si>
    <t>100 m</t>
  </si>
  <si>
    <t>116-935 mm</t>
  </si>
  <si>
    <t>very fine (&lt;10% sand), fine (&gt;10% &amp; &lt;50% sand), coarse (&gt;50% &amp; &lt;80% sand), very coarse (&gt;80% sand)</t>
  </si>
  <si>
    <t>shrub cover</t>
  </si>
  <si>
    <t>11-42% clay</t>
  </si>
  <si>
    <t>203-250 mm</t>
  </si>
  <si>
    <t>Very coarse soils may support lower cover in some cases due to low nutrient content and/or surface stability.</t>
  </si>
  <si>
    <t>(Hoover et al., 2015)</t>
  </si>
  <si>
    <t>shrubs, grasses</t>
  </si>
  <si>
    <t>150 x 200 cm</t>
  </si>
  <si>
    <t>Cover was higher on sandy soils but no evidence of ITE during drought events.</t>
  </si>
  <si>
    <t>single sampling date</t>
  </si>
  <si>
    <t>30-115 mm</t>
  </si>
  <si>
    <t>32-93% sand</t>
  </si>
  <si>
    <t>(Fensham et al., 2015)</t>
  </si>
  <si>
    <t>Australia</t>
  </si>
  <si>
    <t>woody biomass</t>
  </si>
  <si>
    <t>tree mortality</t>
  </si>
  <si>
    <t>regional</t>
  </si>
  <si>
    <t>global</t>
  </si>
  <si>
    <t>continental</t>
  </si>
  <si>
    <t>local</t>
  </si>
  <si>
    <t>500 mm</t>
  </si>
  <si>
    <r>
      <t>clay (&gt;40% clay), non-clay (</t>
    </r>
    <r>
      <rPr>
        <sz val="11"/>
        <color theme="1"/>
        <rFont val="Aptos Narrow"/>
        <family val="2"/>
      </rPr>
      <t>≤40% clay)</t>
    </r>
  </si>
  <si>
    <t>compared sites with abrupt clay increase vs. gradual clay increase with depth</t>
  </si>
  <si>
    <t>ITE affects woody plant cover across 70% of the Australian continent.
Crossover point depends on potential evapotranspiration (PET): higher PET means a higher crossover point.</t>
  </si>
  <si>
    <t>~5.5 km</t>
  </si>
  <si>
    <t>250-750 mm</t>
  </si>
  <si>
    <t>woodland</t>
  </si>
  <si>
    <t>707 m2</t>
  </si>
  <si>
    <t>Proposes differences in matric potential between fine and coarse soils at the same soil water content is important driver of ITE and tree mortality during drought.</t>
  </si>
  <si>
    <t>(Yang et al., 2009)</t>
  </si>
  <si>
    <t>grassland</t>
  </si>
  <si>
    <t>above ground biomass</t>
  </si>
  <si>
    <t>100-600 mm</t>
  </si>
  <si>
    <t>500 m</t>
  </si>
  <si>
    <t>2011-2014</t>
  </si>
  <si>
    <t>shrubland</t>
  </si>
  <si>
    <t>shrubland, grassland</t>
  </si>
  <si>
    <t>~11 km</t>
  </si>
  <si>
    <t>ITE affects aboveground biomass in high elevation temperate grasslands, with AGB higher on coarse soils below 200 mm groiwng-season precipitation and on fine soils above that amount.
Temperature effects depend on precipitation level (negative at low precipitation, positive at high).</t>
  </si>
  <si>
    <t>(Caylor et al., 2009)</t>
  </si>
  <si>
    <t>modeling</t>
  </si>
  <si>
    <t>tree size and spacing</t>
  </si>
  <si>
    <t>400 mm</t>
  </si>
  <si>
    <t>6 mm/day potential evapotranspiration rate</t>
  </si>
  <si>
    <t>Sandy and clay soils (not clearly defined)</t>
  </si>
  <si>
    <t>Stand structure may result from silmutaneous avoidance of water stress and maximization of water use. Sandy soils tend to have larger, widely spaced trees, while clay soils have smaller, denser trees (mixed agreement with ITE).
Proposes that although field capacity is higher on clays than sands, dryland soils are rarely at field capacity, and sands have greater water availability under dry conditions (low soil water content).</t>
  </si>
  <si>
    <t>(Buyantuyev and Wu, 2009)</t>
  </si>
  <si>
    <t>180 mm</t>
  </si>
  <si>
    <t>30.8 C mean summer temperature</t>
  </si>
  <si>
    <t>desert scrub</t>
  </si>
  <si>
    <t>aboveground net primary production</t>
  </si>
  <si>
    <t xml:space="preserve">Productivity of natural vegetation on sandy soil was most strongly correlated with vegetation, and correlations were lower in wet and dry years. </t>
  </si>
  <si>
    <t>(Weng and Luo, 2008)</t>
  </si>
  <si>
    <t>804 mm , 402 mm, 1006 mm; each simulated with ambient and high intensity scenarios</t>
  </si>
  <si>
    <t>16 C, 18 C</t>
  </si>
  <si>
    <t>sand, sandy loam, loam, silt loam, clay loam</t>
  </si>
  <si>
    <t xml:space="preserve">proportional flows of water to evaporation, transpiration, and runoff
</t>
  </si>
  <si>
    <t>Clear trade-off between evaporation and drainage (called "runoff" in this model) along gradient from coarse to fine soil texture.
At low precipitation: evaporation was most important water loss from finer soils  and drainage was most important loss on coarse soils. At high precipitation: drainage was most important loss across soil textures, with greatest losses on coarsest soils.
Transpiration was slightly higher on sand than clay loam at low precipitation, but was greatest on loam.Transpiration was lowest on coarse soils for higher precipitation.
High intensity precipitation tended to result in greater losses to drainage and slightly lower evaporation--with net effect of lower transpiration in most cases.</t>
  </si>
  <si>
    <t>(Petersen 2008)</t>
  </si>
  <si>
    <t>soil moisture by depth</t>
  </si>
  <si>
    <t>dune (coarse) and interdune (fine)</t>
  </si>
  <si>
    <t xml:space="preserve">No </t>
  </si>
  <si>
    <t>Coarse soils were wetter, dried more slowly, and had deeper percolation than fine soils.</t>
  </si>
  <si>
    <t>event</t>
  </si>
  <si>
    <t>(Lauenroth et al., 2008)</t>
  </si>
  <si>
    <t>300-600 mm</t>
  </si>
  <si>
    <t>sand and clay</t>
  </si>
  <si>
    <t>Slope of relationship between mean annual precipitation and average annual aboveground net primary production is steeper on clay than sand.</t>
  </si>
  <si>
    <t>(Bucini and Hanan, 2007)</t>
  </si>
  <si>
    <t>Tree cover</t>
  </si>
  <si>
    <t>fine, medium, coarse</t>
  </si>
  <si>
    <t>~111 km</t>
  </si>
  <si>
    <t>11-2192 mm</t>
  </si>
  <si>
    <t>Fine textured soils had higher tree cover than coarse textured soils throughout the precipitation gradient above 300 mm. No differences below 300 mm.</t>
  </si>
  <si>
    <t>low MAP: 740-942 mm, high MAP: 1119-1364 mm</t>
  </si>
  <si>
    <t>(Begzsuren, 2007)</t>
  </si>
  <si>
    <t>117 mm</t>
  </si>
  <si>
    <t>grassland, shrubland</t>
  </si>
  <si>
    <t>plant cover and aboveground biomass</t>
  </si>
  <si>
    <t>40 x 120 m</t>
  </si>
  <si>
    <t>coarse (loamy sand, sand), moderately-coarse (sandy loam), medium (loam), moderately-fine (silty clay loam)</t>
  </si>
  <si>
    <t>Aboveground biomass and cover were not significantly related to soil sand percentage.</t>
  </si>
  <si>
    <t>Maybe because land degradation was confounding factor or other small-scale variables?</t>
  </si>
  <si>
    <t>(Fravolini et al., 2005)</t>
  </si>
  <si>
    <t>tree</t>
  </si>
  <si>
    <t>soil water dynamics and water stress</t>
  </si>
  <si>
    <t>430 mm (loamy-clay site); 394 (sandy-loam site)</t>
  </si>
  <si>
    <t>loamy-clay and sandy-loam</t>
  </si>
  <si>
    <t>Wetting front was deeper at sandy-loam site with large (35 mm) and small (10 mm) events. Large events flushed into deeper soil quickly, small events percolated slowly.
Water uptake decreased more rapidly on loamy-clay after large event.
Large event was effective for both sites, but small event was much more effective on coarser-textured site.</t>
  </si>
  <si>
    <t>(Fernandez-Illescas et al., 2001)</t>
  </si>
  <si>
    <t>700 mm</t>
  </si>
  <si>
    <t>22.4 C</t>
  </si>
  <si>
    <t>all 12 soil texture classes</t>
  </si>
  <si>
    <t>shrub, grass</t>
  </si>
  <si>
    <t>shrub</t>
  </si>
  <si>
    <t>grass</t>
  </si>
  <si>
    <t>Drainage can be greater for shallow- than deep-rooted species, depending on climate and soil.
Grasses experience stress less often but enter stressed conditions more often. Shrubs spend more time stressed, but experience fewer fluctuations.
Both grasses and trees do better on coarse soils under dry conditions, and this shifts to fine soils as moisture increases.
Coarser soils require smaller inputs to transition from below wilting point to unstressed conditions.</t>
  </si>
  <si>
    <t>(Laio et al., 2001)</t>
  </si>
  <si>
    <t>This is more of a plant's eye view of soil water and stress.</t>
  </si>
  <si>
    <t>water stress</t>
  </si>
  <si>
    <t>320 mm</t>
  </si>
  <si>
    <t>sand, clay, silt loam</t>
  </si>
  <si>
    <t xml:space="preserve">Dominant grass is very sensitive to soil texture under dry conditions, and spends less time in stressed conditions on sand than clay or silt loam.
Sensitivity to soil texture decreases under wetter conditions, and it is slighly less stressed on finer soils.
Annual precipitation of about 370 mm is the crossover point for grass performance on sand versus other soils.
</t>
  </si>
  <si>
    <t>(Lane et al. 1998)</t>
  </si>
  <si>
    <t>333-759 mm</t>
  </si>
  <si>
    <t>9-11 C</t>
  </si>
  <si>
    <r>
      <t xml:space="preserve">coarse: </t>
    </r>
    <r>
      <rPr>
        <sz val="11"/>
        <color theme="1"/>
        <rFont val="Aptos Narrow"/>
        <family val="2"/>
      </rPr>
      <t>≥80% sand; fine: &lt;60% sand</t>
    </r>
  </si>
  <si>
    <t>0.25 m2</t>
  </si>
  <si>
    <t xml:space="preserve">aboveground net primary production, community composition
</t>
  </si>
  <si>
    <t>Soil texture may be more relevant for community composition (e.g., relative abundance of functional types) than aboveground net primary production.</t>
  </si>
  <si>
    <t>(Epstein et al., 1997)</t>
  </si>
  <si>
    <t>average annual</t>
  </si>
  <si>
    <t>250-1150 mm</t>
  </si>
  <si>
    <t>Soil texture was more important than MAT at driest (below 400 mm MAP) and wettest (&gt;700 mm MAP) sites, but MAT was more important at sites with MAP 400-800 mm. 
MAT was not an important predictor above 800 mm MAP. MAT had negative relationship with ANPP up to 800 mm.
Crossover appears to be 800 to 850 mm</t>
  </si>
  <si>
    <t>(Liang et al., 1989)</t>
  </si>
  <si>
    <t>biomass and water use efficiency</t>
  </si>
  <si>
    <t>sandy-loam, loam, clay, clay-loam, sandy-clay loam</t>
  </si>
  <si>
    <t>Above and belowground biomass increased with shrub component. Grass production was not significantly different among sites. Shrub biomass was greater on coarse-textured sites.
Soil water loss was greater from fine- than coarse-textured soils.</t>
  </si>
  <si>
    <t>(Sala et al., 1988)</t>
  </si>
  <si>
    <t>% ITE = woody</t>
  </si>
  <si>
    <t>% no ITE</t>
  </si>
  <si>
    <t>17.8-89.2 dm2</t>
  </si>
  <si>
    <t>250-1300 mm</t>
  </si>
  <si>
    <t>Relationship between MAP and ANPP depends on soil texture. Coarse soils are favorable below 370 mm MAP and fine soils are favorable above this point.</t>
  </si>
  <si>
    <t>25 unique studies, 27 cases</t>
  </si>
  <si>
    <t>Compared water stress and tree mortality across soil types with MAP 336 mm.</t>
  </si>
  <si>
    <t>Approach</t>
  </si>
  <si>
    <t>Author</t>
  </si>
  <si>
    <t>Title</t>
  </si>
  <si>
    <t>Sala, O. E.; Parton, W. J.; Joyce, L. A.; Lauenroth, W. K.</t>
  </si>
  <si>
    <t>Primary Production of the Central Grassland Region of the United States</t>
  </si>
  <si>
    <t>Ecology</t>
  </si>
  <si>
    <t>Liang, Y. M.; Hazlett, D. L.; Lauenroth, W. K.</t>
  </si>
  <si>
    <t>Biomass dynamics and water use efficiencies of five plant communities in the shortgrass steppe</t>
  </si>
  <si>
    <t>Oecologia</t>
  </si>
  <si>
    <t>Tongway, D. J.; Ludwig, J. A.; Whitford, W. G.</t>
  </si>
  <si>
    <t>Mulga log mounds: Fertile patches in the semi-arid woodlands of eastern Australia</t>
  </si>
  <si>
    <t>Australian Journal of Ecology</t>
  </si>
  <si>
    <t>Burke, Ingrid C.; Lauenroth, William K.; Parton, William J.</t>
  </si>
  <si>
    <t>Dodd, M. B.; Lauenroth, W. K.</t>
  </si>
  <si>
    <t>The influence of soil texture on the soil water dynamics and vegetation structure of a shortgrass steppe ecosystem</t>
  </si>
  <si>
    <t>Plant Ecology</t>
  </si>
  <si>
    <t>Epstein, H. E.; Lauenroth, W. K.; Burke, I. C.</t>
  </si>
  <si>
    <t>Lane, Diana R.; Coffin, Debra P.; Lauenroth, William K.</t>
  </si>
  <si>
    <t>Effects of soil texture and precipitation on above-ground net primary productivity and vegetation structure across the Central Grassland region of the United States</t>
  </si>
  <si>
    <t>Journal of Vegetation Science</t>
  </si>
  <si>
    <t>Nouvellon, Yann; Rambal, Serge; Seen, D. Lo; Moran, M. Susan; Lhomme, Jean-Paul; Begue, Agnes; Chehbouni, A. Ghani; Kerr, Yann</t>
  </si>
  <si>
    <t>Modelling of daily fluxes of water and carbon from shortgrass steppes</t>
  </si>
  <si>
    <t>Agricultural and Forest Meteorology</t>
  </si>
  <si>
    <t>Fernandez-Illescas, Coral Pilar; Porporato, Amilcare; Laio, Franscesco; Rodriguez-Iturbe, Ignacio</t>
  </si>
  <si>
    <t>The ecohydrological role of soil texture in a water-limited ecosystem</t>
  </si>
  <si>
    <t>Water Resources Research</t>
  </si>
  <si>
    <t>Laio, Francesco; Porporato, Amilcare; Fernandez-Illescas, C. P.; Rodriguez-Iturbe, I.</t>
  </si>
  <si>
    <t>Plants in water-controlled ecosystems: active role in hydrologic processes and response to water stress: IV. Discussion of real cases</t>
  </si>
  <si>
    <t>Advances in Water Resources</t>
  </si>
  <si>
    <t>Brown, G.; Al-Mazrooei, S.</t>
  </si>
  <si>
    <t>Rapid vegetation regeneration in a seriously degraded Rhanterium epapposum community in northern Kuwait after 4 years of protection</t>
  </si>
  <si>
    <t>Fravolini, Alessandra; Hultine, Kevin R.; Brugnoli, Enrico; Gazal, Rico; English, Nathan B.; Williams, David G.</t>
  </si>
  <si>
    <t>Precipitation pulse use by an invasive woody legume: the role of soil texture and pulse size</t>
  </si>
  <si>
    <t>Bradford, John B.; Lauenroth, William K.; Burke, Ingrid C.; Paruelo, Jose M.</t>
  </si>
  <si>
    <t>The Influence of Climate, Soils, Weather, and Land Use on Primary Production and Biomass Seasonality in the US Great Plains</t>
  </si>
  <si>
    <t>Ecosystems</t>
  </si>
  <si>
    <t>Fernandez, Daniel P.; Neff, Jason C.; Belnap, Jayne; Reynolds, Richard L.</t>
  </si>
  <si>
    <t>Soil respiration in the cold desert environment of the Colorado Plateau (USA): abiotic regulators and thresholds</t>
  </si>
  <si>
    <t>Biogeochemistry</t>
  </si>
  <si>
    <t>Miller, Mark E.; Belnap, Jayne; Beatty, Susan W.; Reynolds, Richard L.</t>
  </si>
  <si>
    <t>Performance of Bromus tectorum L. in relation to soil properties, water additions, and chemical amendments in calcareous soils of southeastern Utah, USA</t>
  </si>
  <si>
    <t>Plant and Soil</t>
  </si>
  <si>
    <t>Begzsuren, Shurentuya</t>
  </si>
  <si>
    <t>Integrated desertification assessment in Southern Mongolia</t>
  </si>
  <si>
    <t>Bucini, Gabriela; Hanan, Niall P.</t>
  </si>
  <si>
    <t>A continental-scale analysis of tree cover in African savannas</t>
  </si>
  <si>
    <t>Global Ecology and Biogeography</t>
  </si>
  <si>
    <t>Cable, Jessica M.; Ogle, Kiona; Williams, David G.; Weltzin, Jake F.; Huxman, Travis E.</t>
  </si>
  <si>
    <t>Soil texture drives responses of soil respiration to precipitation pulses in the Sonoran Desert: implications for climate change</t>
  </si>
  <si>
    <t>Petersen, A.</t>
  </si>
  <si>
    <t>Pedodiversity of southern African drylands</t>
  </si>
  <si>
    <t>Lauenroth, William K.; Milchunas, Daniel G.; Sala, Osvaldo E.; Burke, Ingrid C.; Morgan, Jack A.</t>
  </si>
  <si>
    <t>Net primary production in the shortgrass steppe</t>
  </si>
  <si>
    <t>Ecology of the shortgrass steppe: a long term perspective. Oxford Univ. Press, NY</t>
  </si>
  <si>
    <t>Weng, Ensheng; Luo, Yiqi</t>
  </si>
  <si>
    <t>Soil hydrological properties regulate grassland ecosystem responses to multifactor global change: A modeling analysis</t>
  </si>
  <si>
    <t>Journal of Geophysical Research: Biogeosciences</t>
  </si>
  <si>
    <t>Buyantuyev, A.; Wu, Jianguo</t>
  </si>
  <si>
    <t>Urbanization alters spatiotemporal patterns of ecosystem primary production: A case study of the Phoenix metropolitan region, USA</t>
  </si>
  <si>
    <t>Journal of Arid Environments</t>
  </si>
  <si>
    <t>Caylor, Kelly K.; Scanlon, Todd M.; Rodriguez-Iturbe, Ignacio</t>
  </si>
  <si>
    <t>Ecohydrological optimization of pattern and processes in water-limited ecosystems: A trade-off-based hypothesis</t>
  </si>
  <si>
    <t>Yang, Y. H.; Fang, J. Y.; Pan, Y. D.; Ji, C. J.</t>
  </si>
  <si>
    <t>Aboveground biomass in Tibetan grasslands</t>
  </si>
  <si>
    <t>Curran, Timothy J.; Clarke, Peter J.; Warwick, Nigel WM</t>
  </si>
  <si>
    <t>Water relations of woody plants on contrasting soils during drought: does edaphic compensation account for dry rainforest distribution?</t>
  </si>
  <si>
    <t>Australian Journal of Botany</t>
  </si>
  <si>
    <t>Kochendorfer, J. P.; Ramirez, J. A.</t>
  </si>
  <si>
    <t>Hydrology and Earth System Sciences</t>
  </si>
  <si>
    <t>Modeling the monthly mean soil-water balance with a statistical-dynamical ecohydrology model as coupled to a two-component canopy model</t>
  </si>
  <si>
    <t>Rao, Leela E.; Allen, Edith B.; Meixner, Thomas</t>
  </si>
  <si>
    <t>Risk-based determination of critical nitrogen deposition loads for fire spread in southern California deserts</t>
  </si>
  <si>
    <t>Ecological Applications</t>
  </si>
  <si>
    <t>Robinson, David A.; Lebron, Inma; Querejeta, Jose Ignacio</t>
  </si>
  <si>
    <t>Determining Soil-Tree-Grass Relationships in a California Oak Savanna Using Eco-Geophysics</t>
  </si>
  <si>
    <t>Vadose Zone Journal</t>
  </si>
  <si>
    <t>Bowker, M. A.; Munoz, A.; Martinez, T.; Lau, M. K.</t>
  </si>
  <si>
    <t>Rare drought-induced mortality of juniper is enhanced by edaphic stressors and influenced by stand density</t>
  </si>
  <si>
    <t>Cabello, J.; Alcaraz-Segura, D.; Ferrero, R.; Castro, A. J.; Liras, E.</t>
  </si>
  <si>
    <t>The role of vegetation and lithology in the spatial and inter-annual response of EVI to climate in drylands of Southeastern Spain</t>
  </si>
  <si>
    <t>Fensham, R. J.; Fairfax, R. J.; Dwyer, J. M.</t>
  </si>
  <si>
    <t>Potential aboveground biomass in drought-prone forest used for rangeland pastoralism</t>
  </si>
  <si>
    <t>Looney, Christopher E.; Sullivan, Benjamin W.; Kolb, Thomas E.; Kane, Jeffrey M.; Hart, Stephen C.</t>
  </si>
  <si>
    <t>Pinyon pine (Pinus edulis) mortality and response to water addition across a three million year substrate age gradient in northern Arizona, USA</t>
  </si>
  <si>
    <t>Ruppert, Jan C.; Holm, Alexander; Miehe, Sabine; Muldavin, Esteban; Snyman, Hennie A.; Wesche, Karsten; LinstÃ¤dter, Anja</t>
  </si>
  <si>
    <t>Meta-analysis of ANPP and rain-use efficiency confirms indicative value for degradation and supports non-linear response along precipitation gradients in drylands</t>
  </si>
  <si>
    <t>Sivandran, Gajan; Bras, Rafael L.</t>
  </si>
  <si>
    <t>Identifying the optimal spatially and temporally invariant root distribution for a semiarid environment</t>
  </si>
  <si>
    <t>Hall, Sharon J.; Trujillo, Jolene; Nakase, Dana; Strawhacker, Colleen; Kruse-Peeples, Melissa; Schaafsma, Hoski; Briggs, John</t>
  </si>
  <si>
    <t>Legacies of prehistoric agricultural practices within plant and soil properties across an arid ecosystem</t>
  </si>
  <si>
    <t>Nano, Catherine E. M.; Pavey, Chris R.</t>
  </si>
  <si>
    <t>Refining the "pulse-reserve" model for arid central Australia: Seasonal rainfall, soil moisture and plant productivity in sand ridge and stony plain habitats of the Simpson Desert</t>
  </si>
  <si>
    <t>Austral Ecology</t>
  </si>
  <si>
    <t>Ruoss, Sacha B.</t>
  </si>
  <si>
    <t>Restoration ecology of rare shallow-soil endemic flora from a semi-arid biodiversity hotspot</t>
  </si>
  <si>
    <t>Travers, Samantha K.; Eldridge, David J.</t>
  </si>
  <si>
    <t>Increased rainfall frequency triggers an increase in litter fall rates of reproductive structures in an arid eucalypt woodland</t>
  </si>
  <si>
    <t>Strohbach, Ben J.; Kutuahuripa, Josephat T.</t>
  </si>
  <si>
    <t>Vegetation of the eastern communal conservancies in Namibia: II. Environmental drivers</t>
  </si>
  <si>
    <t>Koedoe</t>
  </si>
  <si>
    <t>Thomey, Michell L.; Collins, Scott L.; Friggens, Michael T.; Brown, Renee F.; Pockman, William T.</t>
  </si>
  <si>
    <t>Effects of monsoon precipitation variability on the physiological response of two dominant C4 grasses across a semiarid ecotone</t>
  </si>
  <si>
    <t>Bork, Edward W.; Irving, Barry D.</t>
  </si>
  <si>
    <t>Seasonal availability of cool-and warm-season herbage in the northern mixed prairie</t>
  </si>
  <si>
    <t>Rangelands</t>
  </si>
  <si>
    <t>Fensham, Roderick J.; Butler, Don W.; Foley, Jenny</t>
  </si>
  <si>
    <t>How does clay constrain woody biomass in drylands?</t>
  </si>
  <si>
    <t>Hoover, David L.; Duniway, Michael C.; Belnap, Jayne</t>
  </si>
  <si>
    <t>Pulse-drought atop press-drought: unexpected plant responses and implications for dryland ecosystems</t>
  </si>
  <si>
    <t>Sala, Osvaldo E.; Gherardi, Laureano A.; Peters, Debra P. C.</t>
  </si>
  <si>
    <t>Enhanced precipitation variability effects on water losses and ecosystem functioning: differential response of arid and mesic regions</t>
  </si>
  <si>
    <t>Climatic Change</t>
  </si>
  <si>
    <t>Shepard, Christopher; Schaap, Marcel G.; Crimmins, Michael A.; van Leeuwen, Willem JD; Rasmussen, Craig</t>
  </si>
  <si>
    <t>Subsurface soil textural control of aboveground productivity in the US Desert Southwest</t>
  </si>
  <si>
    <t>Geoderma Regional</t>
  </si>
  <si>
    <t>Xu, Xiaoming; Li, Dejun; Luo, Yiqi</t>
  </si>
  <si>
    <t>Modeled ecosystem responses to intra-annual redistribution and levels of precipitation in a prairie grassland</t>
  </si>
  <si>
    <t>Ecological Modelling</t>
  </si>
  <si>
    <t>Beal, Lakin K.; Huber, David P.; Godsey, Sarah E.; Nawotniak, Shannon K.; Lohse, Kathleen A.</t>
  </si>
  <si>
    <t>Controls on ecohydrologic properties in desert ecosystems: Differences in soil age and volcanic morphology</t>
  </si>
  <si>
    <t>Geoderma</t>
  </si>
  <si>
    <t>Coble, Ashley A.; Hart, Stephen C.</t>
  </si>
  <si>
    <t>No evidence of resource limitation to aboveground growth of blue grama (Bouteloua gracilis) on 1 ky-old semi-arid substrate</t>
  </si>
  <si>
    <t>Gamoun, Mouldi</t>
  </si>
  <si>
    <t>Rain Use Efficiency, Primary Production and Rainfall Relationships in Desert Rangelands of Tunisia</t>
  </si>
  <si>
    <t>Land Degradation &amp; Development</t>
  </si>
  <si>
    <t>Moxham, Claire; Dorrough, Josh; Bramwell, Mick; Farmilo, Brad J.</t>
  </si>
  <si>
    <t>Fire exclusion and soil texture interact to influence temperate grassland flora in south-eastern Australia</t>
  </si>
  <si>
    <t>Tietjen, Britta</t>
  </si>
  <si>
    <t>Natural and land-use drivers of primary production in a highly vulnerable region of livestock production (Sierras del Este-Uruguay)</t>
  </si>
  <si>
    <t>Havrilla, Caroline A.; Barger, Nichole N.</t>
  </si>
  <si>
    <t>Biocrusts and their disturbance mediate the recruitment of native and exotic grasses from a hot desert ecosystem</t>
  </si>
  <si>
    <t>Ecosphere</t>
  </si>
  <si>
    <t>Sanaei, Anvar; Chahouki, Mohammad Ali Zare; Ali, Arshad; Jafari, Mohammad; Azarnivand, Hossein</t>
  </si>
  <si>
    <t>Abiotic and biotic drivers of aboveground biomass in semi-steppe rangelands</t>
  </si>
  <si>
    <t>Science of the Total Environment</t>
  </si>
  <si>
    <t>Diaz, Ismael; Achkar, Marcel; Crisci, Carolina; Mazzeo, Nestor</t>
  </si>
  <si>
    <t>Ji, Wenjie; Hanan, Niall P.; Browning, Dawn M.; Monger, H. Curtis; Peters, Debra P. C.; Bestelmeyer, Brandon T.; Archer, Steve R.; Ross, C. Wade; Lind, Brianna M.; Anchang, Julius; Kumar, Sanath S.; Prihodko, Lara</t>
  </si>
  <si>
    <t>Constraints on shrub cover and shrub-shrub competition in a U.S. southwest desert</t>
  </si>
  <si>
    <t>Osborn, Blake J.; Williams, David G.</t>
  </si>
  <si>
    <t>Lodgepole pine tree-ring growth, delta 13 C and the inverse texture effect across a soil chronosequence in glacial till</t>
  </si>
  <si>
    <t>Renne, Rachel R.; Bradford, John B.; Burke, Ingrid C.; Lauenroth, William K.</t>
  </si>
  <si>
    <t>Soil texture and precipitation seasonality influence plant community structure in North American temperate shrub steppe</t>
  </si>
  <si>
    <t>Sanaei, Anvar; Li, Mingshi; Ali, Arshad</t>
  </si>
  <si>
    <t>Topography, grazing, and soil textures control over rangelands' vegetation quantity and quality</t>
  </si>
  <si>
    <t>Thoma, David P.; Munson, Seth M.; Witwicki, Dana L.</t>
  </si>
  <si>
    <t>Landscape pivot points and responses to water balance in national parks of the southwest US</t>
  </si>
  <si>
    <t>Journal of Applied Ecology</t>
  </si>
  <si>
    <t>Whipple, Amy V.; Cobb, Neil S.; Gehring, Catherine A.; Mopper, Susan; Flores-Renteria, Lluvia; Whitham, Thomas G.</t>
  </si>
  <si>
    <t>Long-term studies reveal differential responses to climate change for trees under soil-or herbivore-related stress</t>
  </si>
  <si>
    <t>Frontiers in Plant Science</t>
  </si>
  <si>
    <t>Detsis, Vassilis; Efthimiou, Georgios; Theodoropoulou, Olga; Siorokou, Stavroula</t>
  </si>
  <si>
    <t>Determination of the environmental factors that affect the growth and survival of Greek Fir seedlings</t>
  </si>
  <si>
    <t>Land</t>
  </si>
  <si>
    <t>Holdo, Ricardo M.; Onderdonk, Daphne A.; Barr, Annabelle G.; Mwita, Meshak; Anderson, T. Michael</t>
  </si>
  <si>
    <t>Spatial transitions in tree cover are associated with soil hydrology, but not with grass biomass, fire frequency, or herbivore biomass in Serengeti savannahs</t>
  </si>
  <si>
    <t>Journal of Ecology</t>
  </si>
  <si>
    <t>Liu, Hu; Wu, Chuandong; Yu, Yang; Zhao, Wenzhi; Yang, Qiyue; Wang, Sijia; Liu, Jintao</t>
  </si>
  <si>
    <t>Modeling the physiological responses of a desert shrub to rainfall pulses in an arid environment in northwestern China</t>
  </si>
  <si>
    <t>Zang, YongXin; Min, XiaoJun; de Dios, Victor Resco; Ma, JianYing; Sun, Wei</t>
  </si>
  <si>
    <t>Extreme drought affects the productivity, but not the composition, of a desert plant community in Central Asia differentially across microtopographies</t>
  </si>
  <si>
    <t>Ding, Jingyi; Travers, Samantha Kay; Eldridge, David John</t>
  </si>
  <si>
    <t>Occurrence of Australian woody species is driven by soil moisture and available phosphorus across a climatic gradient</t>
  </si>
  <si>
    <t>Gagnon, Alyson; Ploughe, Laura W; Harris, Michelle P; Gardner, Wendy C; Pypker, Thomas; Fraser, Lauchlan H</t>
  </si>
  <si>
    <t>Grassland reclamation of a copper mine tailings facility: Long-term effects of biosolids on plant community responses</t>
  </si>
  <si>
    <t>Applied Vegetation Science</t>
  </si>
  <si>
    <t>Hou, Enqing; Litvak, Marcy E.; Rudgers, Jennifer A.; Jiang, Lifen; Collins, Scott L.; Pockman, William T.; Hui, Dafeng; Niu, Shuli; Luo, Yiqi</t>
  </si>
  <si>
    <t>Divergent responses of primary production to increasing precipitation variability in global drylands</t>
  </si>
  <si>
    <t>Global Change Biology</t>
  </si>
  <si>
    <t>Jiang, Lubing; Liu, Hongyan; Peng, Zhaoyu; Dai, Jingyu; Zhao, Fengjun; Chen, Zhiting</t>
  </si>
  <si>
    <t>Root system plays an important role in responses of plant to drought in the steppe of China</t>
  </si>
  <si>
    <t>Kong, Kaman; Nandintsetseg, Banzragch; Shinoda, Masato</t>
  </si>
  <si>
    <t>How plant production in the Mongolian grasslands is affected by wind-eroded coarse-textured topsoil</t>
  </si>
  <si>
    <t>What does the future look like? Plant community change at the recruitment life stage</t>
  </si>
  <si>
    <t>Zang, YongXin; Ma, JianYing; Zhou, XiaoBing; Tao, Ye; Yin, BenFeng; Zhang, YuanMing</t>
  </si>
  <si>
    <t>Extreme precipitation increases the productivity of a desert ephemeral plant community in Central Asia, but there is no slope position effect</t>
  </si>
  <si>
    <t>Gupta, Surya; Bonetti, Sara; Lehmann, Peter; Or, Dani</t>
  </si>
  <si>
    <t>Limited role of soil texture in mediating natural vegetation response to rainfall anomalies</t>
  </si>
  <si>
    <t>Environmental Research Letters</t>
  </si>
  <si>
    <t>Havrilla, Caroline A.; Bradford, John B.; Yackulic, Charles B.; Munson, Seth M.</t>
  </si>
  <si>
    <t>Divergent climate impacts on C3 versus C4 grasses imply widespread 21st century shifts in grassland functional composition</t>
  </si>
  <si>
    <t>Holguin, Jennifer; Collins, Scott L.; McLaren, Jennie R.</t>
  </si>
  <si>
    <t>Belowground responses to altered precipitation regimes in two semi-arid grasslands</t>
  </si>
  <si>
    <t>Soil Biology and Biochemistry</t>
  </si>
  <si>
    <t>Jiang, Lubing; Wu, Lu; Liu, Hongyan; He, Wenqi; Shi, Liang; Xu, Chongyang; Xiang, Changlin</t>
  </si>
  <si>
    <t>Coarsened soil reduces drought resistance of fibrous-rooted species on degraded steppe</t>
  </si>
  <si>
    <t>Ecological Indicators</t>
  </si>
  <si>
    <t>Kucuk, Caglar; Koirala, Sujan; Carvalhais, Nuno; Miralles, Diego G.; Reichstein, Markus; Jung, Martin</t>
  </si>
  <si>
    <t>Characterizing the Response of Vegetation Cover to Water Limitation in Africa Using Geostationary Satellites</t>
  </si>
  <si>
    <t>Journal of Advances in Modeling Earth Systems</t>
  </si>
  <si>
    <t>Shayaguli, J.; Zang, Y.X.; Yin, B.F.; Mamtimin, S.; Zhang, Y.M.</t>
  </si>
  <si>
    <t>Responses of aboveground and belowground net primary productivity of ephemeral plants to extreme drought and extreme precipitation.</t>
  </si>
  <si>
    <t>Chinese Journal of Applied Ecology</t>
  </si>
  <si>
    <t>Veblen, Kari E.; Nehring, Kyle C.; Duniway, Michael C.; Knight, Anna; Monaco, Thomas A.; Schupp, Eugene W.; Boettinger, Janis L.; Villalba, Juan J.; Fick, Stephen; Brungard, Colby; Thacker, Eric</t>
  </si>
  <si>
    <t>Soil depth and precipitation moderate soil textural effects on seedling survival of a foundation shrub species</t>
  </si>
  <si>
    <t>Restoration Ecology</t>
  </si>
  <si>
    <t>Zhu, Xinrong; Liu, Hongyan; Xu, Chongyang; Wu, Lu; Shi, Liang; Liu, Feng</t>
  </si>
  <si>
    <t>Soil coarsening alleviates precipitation constraint on vegetation growth in global drylands</t>
  </si>
  <si>
    <t>Farrell, Hannah L.; Munson, Seth M.; Butterfield, Bradley J.; Duniway, Michael C.; Faist, Akasha M.; Gornish, Elise S.; Havrilla, Caroline A.; Larios, Loralee; Reed, Sasha C.; Rowe, Helen I.; Laushman, Katherine M.; McCormick, Molly L.</t>
  </si>
  <si>
    <t>Gao, Xiaotian; Li, Frank Yonghong</t>
  </si>
  <si>
    <t>The inverse texture effect of soil on vegetation in temperate grasslands of China: Benchmarking soil texture effect</t>
  </si>
  <si>
    <t>Diversity and Distributions</t>
  </si>
  <si>
    <t>Holdrege, Martin C.; Kulmatiski, Andrew; Beard, Karen H.; Palmquist, Kyle A.</t>
  </si>
  <si>
    <t>Precipitation Intensification Increases Shrub Dominance in Arid, Not Mesic, Ecosystems</t>
  </si>
  <si>
    <t>Mensah, Sylvanus; Noulekoun, Florent; Dimobe, Kangbeni; Seifert, Thomas; Glele Kakai, Romain</t>
  </si>
  <si>
    <t>Climate and soil effects on tree species diversity and aboveground carbon patterns in semi-arid tree savannas</t>
  </si>
  <si>
    <t>Scientific Reports</t>
  </si>
  <si>
    <t>Biancari, Lucio; Aguiar, Martin; Saiz, Hugo; Gross, Nicolas; Le Bagousse-Pinguet, Yoann; Eldridge, David; Maestre, Fernando</t>
  </si>
  <si>
    <t>Upper boundary on tree cover at global drylands</t>
  </si>
  <si>
    <t>New Phytologist</t>
  </si>
  <si>
    <t>Lehmann, Peter; Or, Dani</t>
  </si>
  <si>
    <t>Analytical model for bare soil evaporation dynamics following wetting with concurrent internal drainage</t>
  </si>
  <si>
    <t>Journal of Hydrology</t>
  </si>
  <si>
    <t>Lomax, Guy A.; Powell, Thomas WR; Lenton, Timothy M.; Economou, Theo; Cunliffe, Andrew M.</t>
  </si>
  <si>
    <t>Untangling the environmental drivers of gross primary productivity in African rangelands</t>
  </si>
  <si>
    <t>Communications Earth &amp; Environment</t>
  </si>
  <si>
    <t>Suliman, Mahmoud; Scaini, Anna; Manzoni, Stefano; Vico, Giulia</t>
  </si>
  <si>
    <t>Soil properties modulate actual evapotranspiration and precipitation impacts on crop yields in the USA</t>
  </si>
  <si>
    <t>Terry, Tyson J.; Adler, Peter B.</t>
  </si>
  <si>
    <t>Precipitation seasonality and soil texture interact to shape dryland recovery from severe disturbance</t>
  </si>
  <si>
    <t>Biancari, Lucio; Aguiar, Martin R.; Eldridge, David J.; Onatibia, Gaston R.; Le Bagousse-Pinguet, Yoann; Saiz, Hugo; Gross, Nicolas; Austin, Amy T.; Ochoa, Victoria; Gozalo, Beatriz; Asensio, Sergio; Guirado, Emilio; Valencia, Enrique; Berdugo, Miguel; Plaza, Cesar; Martinez-Valderrama, Jaime; Mendoza, Betty J.; Garcia-Gomez, Miguel; Abedi, Mehdi; Ahumada, Rodrigo J.; Alcantara, Julio M.; Amghar, Fateh; Anadon, Jose D.; Aramayo, Valeria; Arredondo, Tulio; Bader, Maaike Y.; Bahalkeh, Khadijeh; Salem, Farah Ben; Blaum, Niels; Boldgiv, Bazartseren; Bowker, Matthew; Branquinho, Cristina; Bu, Chongfeng; Byambatsogt, Batbold; Calvo, Dianela A.; Castillo Monroy, Andrea P.; Castro, Helena; Castro-Quezada, Patricio; Chibani, Roukaya; Conceicao, Abel A.; Currier, Courtney M.; Donoso, David A.; Dougill, Andrew; Ejtehadi, Hamid; Espinosa, Carlos I.; Fajardo, Alex; Farzam, Mohammad; Ferrante, Daniela; Fraser, Lauchlan H.; Gaitan, Juan J.; Gherardi, Laureano A.; Gusman-Montalvan, Elizabeth; Hernandez-Hernandez, Rosa M.; Holzel, Norbert; Huber-Sannwald, Elisabeth; Hughes, Frederic M.; Jadan, Oswaldo; Jeltsch, Florian; Jentsch, Anke; Ju, Mengchen; Kaseke, Kudzai F.; Kindermann, Liana; Kobel, Melanie; Le Roux, Peter C.; Liancourt, Pierre; Linstadter, Anja; Liu, Jushan; Louw, Michelle A.; Maggs-Kolling, Gillian; Issa, Oumarou Malam; Marais, Eugene; Margerie, Pierre; Messeder, Joao Vitor S.; Mora, Juan P.; Moreno, Gerardo; Munson, Seth M.; Oliva, Gabriel; Pueyo, Yolanda; Quiroga, R. Emiliano; Reed, Sasha C.; Rey, Pedro J.; Rodriguez, Alexandra; Rodriguez, Laura B.; Rolo, Victor; Ruppert, Jan C.; Sala, Osvaldo; Salah, Ayman; Stavi, Ilan; Stephens, Colton R. A.; Swemmer, Anthony M.; Teixido, Alberto L.; Thomas, Andrew D.; Throop, Heather L.; Tielborger, Katja; Travers, Samantha K.; Van Den Brink, Liesbeth; Wagner, Viktoria; Wamiti, Wanyoike; Wang, Deli; Wang, Lixin; Wolff, Peter; Yahdjian, Laura; Zaady, Eli; Maestre, Fernando T.</t>
  </si>
  <si>
    <t>Drivers of woody dominance across global drylands</t>
  </si>
  <si>
    <t>Science Advances</t>
  </si>
  <si>
    <t>Investigation</t>
  </si>
  <si>
    <t>Nice simulations across soil textures under low, normal, and high precipitation scenarios.</t>
  </si>
  <si>
    <t>Perennial plants supported ITE, but annuals did not--they discuss that annuals may be in a "wet" part of a moisture gradient given that they use water during a specific time of year that is wet.</t>
  </si>
  <si>
    <t>Publication</t>
  </si>
  <si>
    <t>Compared ANPP across soil types along precipitation gradient</t>
  </si>
  <si>
    <t>Compared biomass and water use efficiency across 5 plant communities in short grass steppe</t>
  </si>
  <si>
    <t>Europe</t>
  </si>
  <si>
    <t>South America</t>
  </si>
  <si>
    <t>Journal of Agriculture and Rural Development in the Tropics and Subtropics</t>
  </si>
  <si>
    <t>Wainwright, Brooke E.</t>
  </si>
  <si>
    <t>field study</t>
  </si>
  <si>
    <t>Above and belowground biomass increased with shrub component. Grass production was not significantly different among sites. Shrub biomass was greater on coarse-textured sites.</t>
  </si>
  <si>
    <t>shrubs, grasses, forbs</t>
  </si>
  <si>
    <t>Compared standing crop biomass between log-associated soil mounds and open areas.</t>
  </si>
  <si>
    <t>Mounds of soil/termite galleries in mounds are enriched in sand, with faster infiltration and higher standing biomass than adjacent areas.</t>
  </si>
  <si>
    <t>Regional and temporal variation in net primary production and nitrogen mineralization in grasslands</t>
  </si>
  <si>
    <t>Keep</t>
  </si>
  <si>
    <t>Sand had positive and silt had negative effect on AGC for both wet and dry sites. Clay had negative effect at dry sites and neutral effect at wet sites.</t>
  </si>
  <si>
    <t>…</t>
  </si>
  <si>
    <t>Note here about temperature effect between sites that are heat versus cold limited.</t>
  </si>
  <si>
    <t>Compared litterfall of reproductive structures between dune (coarse) and swale (fine) sites over multiple years.</t>
  </si>
  <si>
    <t>shrubs, trees</t>
  </si>
  <si>
    <t>Litterfall of reproductive structures was greater on fine- than coarse-textured soils in both wet and dry years.</t>
  </si>
  <si>
    <t>grasses</t>
  </si>
  <si>
    <t>Higher productivity of grassland on coarser soils during drought (opposite during wet periods).</t>
  </si>
  <si>
    <t>Compared ANPP across soil types using remote-sensing and soil maps across Uruguay grasslands.</t>
  </si>
  <si>
    <t>Compared tree stem growth, male reproduction, and mortality between three soil types during drought.</t>
  </si>
  <si>
    <t>Trees were less affected by drought on coarse- than fine-textured soils.</t>
  </si>
  <si>
    <t>Compared annual ANPP across 3 sites over 4 years.</t>
  </si>
  <si>
    <t xml:space="preserve"> ANPP was consistent with ITE  in 3 of 4 years. Higher productivity on coarser soils was associated with woody plants, while grass biomass was similar across soils. Plants were taller on coarse- than fine-textured sites.</t>
  </si>
  <si>
    <t>Effects of temperature and soil texture on ANPP in the U.S. Great Plains</t>
  </si>
  <si>
    <t>Compared average ANPP across soil types by binning MAP into 100 mm increments. Also tested for relationship between ANPP and MAT.</t>
  </si>
  <si>
    <t>Soil texture was more important than MAT at driest (below 400 mm MAP) and wettest (&gt;700 mm MAP) sites, but MAT was more important at sites with MAP 400-800 mm and was not important above 800 mm MAP. MAT had a negative effect on ANPP where relevant. Crossover occurs between 800 and 850 mm MAP.</t>
  </si>
  <si>
    <t>ITE not detected in either year. Soil texture may be more relevant for community composition (e.g., relative abundance of functional types) than aboveground net primary production.</t>
  </si>
  <si>
    <t>Compared annual ANPP across 14 sites in the central grasslands of the U.S. over two years.</t>
  </si>
  <si>
    <t xml:space="preserve">Compared simulated T/AET ratio across soil textures for a site in southwestern U.S. </t>
  </si>
  <si>
    <t>Reducing field capacity of 0-15 cm soil layers increased infiltration, reduced evaporation, and increased T/AET and water use efficiency.</t>
  </si>
  <si>
    <t>grass, shrub</t>
  </si>
  <si>
    <t>Investigated soil texture and precipitation effects on shrub and grass species in subtropical dryland.</t>
  </si>
  <si>
    <t>Both grasses and trees do better on coarse soils under dry conditions, and this shifts to fine soils as moisture increases. Coarser soils require smaller water inputs to transition from below wilting point to unstressed conditions. Drainage can be greater for shallow- than deep-rooted species, depending on climate and soil.</t>
  </si>
  <si>
    <t>Dominant grass is very sensitive to soil texture under dry conditions, and spends less time in stressed conditions on sand than clay or silt loam. Annual precipitation of about 370 mm is the crossover point for grass performance on sand versus other soils.Sensitivity to soil texture decreases under wetter conditions, and it is slighly less stressed on finer soils.</t>
  </si>
  <si>
    <t>Investigated how annual precipitation affects stress and favorability to the dominant grass in the shortgrass steppe between wet and dry years across different soil textures.</t>
  </si>
  <si>
    <t>Vegetation recovery was much greater on coarse- than fine-textured soils.</t>
  </si>
  <si>
    <t>Compared shrub, grass, and annual plant cover between grazed sites and sites protected from grazing for 4 years.</t>
  </si>
  <si>
    <t>Wetting front was deeper on coarse- than fine-textured soil with large (35 mm) and small (10 mm) events. Large events flushed into deeper soil quickly, small events percolated slowly. Water uptake decreased more rapidly on fine-textured soil after large event. Large event was effective for both sites, but small event was much more effective on coarser-textured site.</t>
  </si>
  <si>
    <t>Compared soil water dynamics after small and large precipitation pulshes between sites with coarse- and fine-textured soils.</t>
  </si>
  <si>
    <t>crops</t>
  </si>
  <si>
    <t>Compared above and below ground NPP for crops across soil textures in the central grassland region of the U.S.</t>
  </si>
  <si>
    <t>remote sensing</t>
  </si>
  <si>
    <t>Higher ANPP on finer-textured soils when both natural and cropped lands are included in the analysis.</t>
  </si>
  <si>
    <t>Compared soil moisture and respiration across a soil texture, precipitation, and temperature gradients.</t>
  </si>
  <si>
    <t>grasses, shrubs</t>
  </si>
  <si>
    <t>Higher water content in at 30 cm on coarse- than fine-textured soil, but soil respiration and decomposition did not show a consistent relationship with the fraction of silt + clay soil particles.</t>
  </si>
  <si>
    <t>annual grass</t>
  </si>
  <si>
    <t>Seedling density and relative growth rates at different seasons were compared across sites with contrasting soil textures with and without watering and nutrient addition.</t>
  </si>
  <si>
    <t>Seasonal differences in soil texture effects: fall establishment was lower on sandy soils, winter growth rates were higher on loamy than on sandy soils, but mid-spring growth rates were lowest on loamy soils.</t>
  </si>
  <si>
    <t>Compared biomass and cover across soils and land degradation categories.</t>
  </si>
  <si>
    <t>Aboveground biomass and cover were not significantly related to soil sand percentage, but relative importance of functional types suggests coarser sites support more woody vegetation.</t>
  </si>
  <si>
    <t>Dissertation</t>
  </si>
  <si>
    <t>Partitioned variation of tree cover into two components: potential vegetation given environmental characteristics and modifications from natural and human-related disturbances.</t>
  </si>
  <si>
    <t>Compared soil respiration responses to experimental water pulses across soil and cover types.</t>
  </si>
  <si>
    <t>Plant respiration was greater on coarse-textured soil and was more sensitive to water additions than on fine-textured soil.</t>
  </si>
  <si>
    <t>trees, shrubs, grasses</t>
  </si>
  <si>
    <t>Compared soil moisture measurements between dune (coarse) and interdune (fine) soils over a period of four months.</t>
  </si>
  <si>
    <t>Compared ANPP across sites in short grass steppe.</t>
  </si>
  <si>
    <t>Compared water balance components and productivity across soil textures for different precipitation amounts and frequencies and climate warming.</t>
  </si>
  <si>
    <t>Compared relationship between MAP and ANPP across soil textures.</t>
  </si>
  <si>
    <t>Stand structure may result from silmutaneous avoidance of water stress and maximization of water use. Sandy soils tend to have larger, widely spaced trees, while clay soils have smaller, denser trees.</t>
  </si>
  <si>
    <t>Compared optimization of resource acquisition versus avoidance of drought stress and how tree size and density influence this trade-off across soil textures.</t>
  </si>
  <si>
    <t>Aboveground biomass was higher on coarse soils below 200 mm groiwng-season precipitation and on fine soils above that amount. Temperature effects depend on precipitation level (negative at low precipitation, positive at high).</t>
  </si>
  <si>
    <t>Compared ANPP across soil, precipitation, and temperature gradients.</t>
  </si>
  <si>
    <t>Compared water stress and drought tolerance traits between sites with contrasting soil textures</t>
  </si>
  <si>
    <t>No difference in drought stress or drought tolerance traits between sites, but water stress was higher on the fine-textured soil after the drought.</t>
  </si>
  <si>
    <t>Compared soil water balance at two sites and across soil textures.</t>
  </si>
  <si>
    <t>Greater leaf area index on coarse- than fine-textured soils at both sites as a result of decreased evaporation and increased transpiration at coarse sites.</t>
  </si>
  <si>
    <t>Productivity was more responsive to nitrogen inputs on coarse- than fine-textured soils.</t>
  </si>
  <si>
    <t>Compared productivity along precipitation, soil, and nitrogen deposition gradients.</t>
  </si>
  <si>
    <t>Conductivity was lowest on tree-dominated soils (indicating less water and coarser-textured shallow soils) and highest at sites with grass and no trees (indicating higher water content and finer-textured shallow soils).</t>
  </si>
  <si>
    <t>Compared electrical conductivity (related to soil texture, moisture, and depth) across soil types and landscape positions.</t>
  </si>
  <si>
    <t>Investigated relative importance of competition, soil texture, and heat load on drought-induced tree mortality between woodland and grasland sites.</t>
  </si>
  <si>
    <t>Drought-induced tree mortality was greater and tree density was lower on fine- than on coarse-textured soils.</t>
  </si>
  <si>
    <t>Vegetation on sandstone bedrock was most sensitive to MAP, but did not exhibit higher vegetation greeness than other substrates. Authors suggest that ITE does not hold for Mediterranean climate because evaporation is less important to water balance.</t>
  </si>
  <si>
    <t>Evaluated environmental controls on vegetation.</t>
  </si>
  <si>
    <t>Tree mortality was negatively related to sand content.</t>
  </si>
  <si>
    <t>Compared drought-induced tree mortality across climate and soil gradients.</t>
  </si>
  <si>
    <t>Tree density was higher on finer-textured soils. Watering decreased water stress at coarsest site and increased water stress at finer sites. Mortality and water stress were highest at intermediate textured site.</t>
  </si>
  <si>
    <t>meta-analysis</t>
  </si>
  <si>
    <t>Meta-analysis of studies to determine drivers of ANPP and rain use efficiency across global drylands.</t>
  </si>
  <si>
    <t>Relationship between ANPP and precipitation was stronger on loamy soils than on silty or sandy soils.</t>
  </si>
  <si>
    <t>Journal of Environmental Management</t>
  </si>
  <si>
    <t>Journal</t>
  </si>
  <si>
    <t>Count</t>
  </si>
  <si>
    <t>Vote</t>
  </si>
  <si>
    <t>Modeled optimal rooting profiles across five soil textures and two plant fuctional types.</t>
  </si>
  <si>
    <t>Deeper roots on coarse-textured soils, with lower evaporation and higher transpiration.</t>
  </si>
  <si>
    <t>Total</t>
  </si>
  <si>
    <t>Sand ridges had higher plant abundance and diversity of species over time, but grasses preferred adjacent fine-textured soils. Plant phenology and antecedent soil moisture conditions determined which pulses plants responded to.</t>
  </si>
  <si>
    <t>Sampled plant abundance and diversity before and after rainfall pulses on sand ridges and adjacent fine-textured soils.</t>
  </si>
  <si>
    <t>Compared soil and plant communities between areas that were enriched with silt from prehistoric farming practices to surrounding areas.</t>
  </si>
  <si>
    <t>shrubs, forbs</t>
  </si>
  <si>
    <t>Thesis</t>
  </si>
  <si>
    <t>Planted three shallow-soil endemic species on four different restoration substrates with different soil textures and gravel contents.</t>
  </si>
  <si>
    <t>Survival and plant health was generally greater on more clay-rich soils, which also had higher gravel content.</t>
  </si>
  <si>
    <t>shrubs, sedge</t>
  </si>
  <si>
    <t>Compared environmental characteristics across abrupt vegetation transition.</t>
  </si>
  <si>
    <t>The vegetation transition included a transition from shallower to deeper roots and was associated with a transit from loamy to sandy soils.</t>
  </si>
  <si>
    <t>Compared soil water and plant physiological responses between plant communities and for to two different monsoon rainfall regimes: frequent small (10 mm) events versus infrequent large (30 mm) events.</t>
  </si>
  <si>
    <t>Soil water increased at 15 cm depth following smaller rainfall events on coarse- but not fine-textured soil and increased on all soils following larger events.</t>
  </si>
  <si>
    <t>grasses, forbs</t>
  </si>
  <si>
    <t>Compared relative contribution of C3 and C4 grasses and forbs to production between a sandy and a loamy site.</t>
  </si>
  <si>
    <t>remote sensing, field study</t>
  </si>
  <si>
    <t>Compared tree cover on different soil types and along gradients of aridity; compared drought-induced tree mortality between pairs of sites with contrasting soil textures.</t>
  </si>
  <si>
    <t>Soil clay content determined tree biomass in general, and tree mortality during drought. Crossover points depend on potential evapotranspiration (PET): higher PET means higher crossover point.</t>
  </si>
  <si>
    <t>Plant cover was higher on sandy soils but there was no evidence of ITE during drought events.</t>
  </si>
  <si>
    <t>Compared plant cover and drought response across sites with different soil textures.</t>
  </si>
  <si>
    <t>Evaluated the effects of intra- and inter-annual variability of precipitation on grassland vegetation.</t>
  </si>
  <si>
    <t>At dry sites, increased precipitation variability (larger events) decreased evaporation and increased the depth of soil water and transpiration, while at wetter sites, it resulted in more drainage, little change to evaporation, and a decrease in transpiration.</t>
  </si>
  <si>
    <t>Compared above ground productivity across climate and soil gradients.</t>
  </si>
  <si>
    <t xml:space="preserve">Coarse-textured soil promotes productivity in the Mojave by reducing evaporation in the summer, while coarse-textured soil in the Sonoran limited productivity due to higher MAP and bimodal precipitation. </t>
  </si>
  <si>
    <t>Annual production was similar between soil textures but plant community composition (C3 grass, C4 grass, forbs) varied.</t>
  </si>
  <si>
    <t>Compared ecosystem and soil water response to increased, decreased, and intra-annually redistributed precipitation across five soil textures.</t>
  </si>
  <si>
    <t>NPP was highest on intermediate-textured soils (loam) for all scenarios, but was greater on sand than clay loam for all scenarios except non-redistributed high precipitation (1.5 x ambient). These differences were due to a direct tradeoff between drainage and evapotranspiration.</t>
  </si>
  <si>
    <t>Compared soil development, hydrologic properties, and plant communities between young and old sites of two different volcanic parent materials.</t>
  </si>
  <si>
    <t>Higher cover of vegetation in general, including trees, on deeper, coarser soils where water infiltrates deeper.</t>
  </si>
  <si>
    <t>Although cover was lower on coarse- than fine-textured soils, ANPP was greater, indicating taller but sparser plants, providing partial support for the ITE.</t>
  </si>
  <si>
    <t>Compared grass (blue gramma) cover and productivity across a combined soil age and texture gradient with nutrient and water addition treatments.</t>
  </si>
  <si>
    <t>Compared ANPP and rain use efficiency over a 10-year period across soil types.</t>
  </si>
  <si>
    <t>ANPP was higher and rainfall was more effective on coarser-textured soils.</t>
  </si>
  <si>
    <t>Grass cover ws higher on fine- than coarse-textured soils.</t>
  </si>
  <si>
    <t>Compared cover and richness of plant species between burned and unburned plots with different soil textures.</t>
  </si>
  <si>
    <t>Compared water availability and vegetation cover across soil textures, slopes, and gradients of precipitation and rainfal variability.</t>
  </si>
  <si>
    <t>Water availability was higher on coarse- than fine-textured soils. Shrub cover was highest on finest-textured soil at lowest precipitation, but was highest on coarsest-textured soil for all other precipitation levels. Grass cover was similar, but there was no difference between textures at the highest precipitation level.</t>
  </si>
  <si>
    <t>Same rainfall amount different vegetation-How environmental conditions and their interactions influence savanna dynamics</t>
  </si>
  <si>
    <t>greenhouse</t>
  </si>
  <si>
    <t>Compared emergence, survival, growth, and performance of different grass species on two biocrust types and two soil types.</t>
  </si>
  <si>
    <t>Seedling growth and survival was higher on sandy than silty soil.</t>
  </si>
  <si>
    <t>Evaluated relationships of above ground biomass with both biotic and abiotic factors (including soil texture).</t>
  </si>
  <si>
    <t>Above ground biomass of shrubs was greater on coarse- than fine-textured soils, but there were not soil texture differences for forbs, grasses, or total above ground biomass.</t>
  </si>
  <si>
    <t>Compared shrub cover across land forms with different soil texture.</t>
  </si>
  <si>
    <t>Shrub cover increased initially with clay content then decreased as percentage clay exceeded 18%.</t>
  </si>
  <si>
    <t>Compared tree growth across a gradient of soil age and texture.</t>
  </si>
  <si>
    <t>Growth was slowest on the coarsest-textured soil at this relatively wet site (MAP &gt;800 mm).</t>
  </si>
  <si>
    <t>Compared plant cover by growth form across gradients of soil texture and precipitation amount and seasonality.</t>
  </si>
  <si>
    <t>ITE was relevant with different functional types, particularly when considering the season of precipitation thought to be most relevant to their growth. ITE was largest when comparing very coarse- to very fine-textured soils.</t>
  </si>
  <si>
    <t>Compared above ground biomass, cover, and density across elevation, soil texture, and grazing gradients.</t>
  </si>
  <si>
    <t>trees, shrubs, grasses, forbs, succulents</t>
  </si>
  <si>
    <t>Coarse soils favored shrubs while fine soils favored grasses.</t>
  </si>
  <si>
    <t>Compared vegetation production and water balance across vegetation and soil types.</t>
  </si>
  <si>
    <t>Vegetation response to annual precipitation increased with sand content and decreased with clay content at grassland and sagebrush sites, but switch from negative to positive response to annual precipitation increased with clay content and decreased with sand content.</t>
  </si>
  <si>
    <t>Compared growth and survival of tree seedlings across soil texture and rainfall gradients.</t>
  </si>
  <si>
    <t>Growth and survival was higher at low clay contents.</t>
  </si>
  <si>
    <t>trees, grasses</t>
  </si>
  <si>
    <t>Treed and herbaceous habitat had similar peak soil water content following precipitation events, but treed habitats had faster drainage. No difference in grass biomass between treed and herbaceous habitats.</t>
  </si>
  <si>
    <t>Compared soil water dynamics and grass biomass between treed and herbaceous habitats.</t>
  </si>
  <si>
    <t>Compared physiological responses of a shrub to different precipitation pulses across soil textures.</t>
  </si>
  <si>
    <t>Physiological responses of the shrub occurred at much lower soil water content on sandy soil than on clay soil.</t>
  </si>
  <si>
    <t>Compared composition and productivity across dune microtopgraphies during drought conditions.</t>
  </si>
  <si>
    <t>annuals</t>
  </si>
  <si>
    <t>ANPP decreased with clay content within each of 4 microtopographies on dunes, even though the range of clay was very low (0 to 1.2%).</t>
  </si>
  <si>
    <t>Compared woody plant presence/absence across soil texture, phosphorous, aridity, and summer rainfall gradients.</t>
  </si>
  <si>
    <t>Woody plants did better on finer soils in subhumid zones and coarser soils in the arid zone.</t>
  </si>
  <si>
    <t>Compared plant community responses to different biosolid treatments across two soil textures.</t>
  </si>
  <si>
    <t>Plant cover was higher on silt loam than sandy site in this semi-arid environment (presumed above cross-over point).</t>
  </si>
  <si>
    <t>Compared ANPP across gobal drylands with MAP &lt;500 mm under altered precipitation scenarios (variability and MAP), two soil textures, two MAT scenarios, and three rooting depth profiles.</t>
  </si>
  <si>
    <t>Increases in ANPP in response to increased precipitation variability were larger on sandy loam than loam soils, except at very low MAP (&lt;100mm).</t>
  </si>
  <si>
    <t>Compared plant traits of 12 species across gradients of MAT, MAP, aridity, sand:clay ratio, and human disturbance.</t>
  </si>
  <si>
    <t>Plant height and biomass (both above and below ground) were related to aridity index, but not to sand:clay ratio.</t>
  </si>
  <si>
    <t>Compared plant growth between sites with and without 10-cm coarse material deposit on soil surface across two vegetation types: steppe and desert steppe.</t>
  </si>
  <si>
    <t>Plant production decreased with the addition of the coarse-textured surface soil layer in desert steppe, but increased in steppe (opposite of the inverse texture effect).</t>
  </si>
  <si>
    <t>Compared grass and shrub germination and survival at ecotones between vegetation types with experimentally manipulated precipitation.</t>
  </si>
  <si>
    <t>Recruitment was higher at site with higher clay content, perhaps because surface soils where germination occurs stayed wetter longer.</t>
  </si>
  <si>
    <t>Compared cover, density, height, richness, and biomass of desert ephemerals on different slopes of sand dunes under ambient and increased annual precipitation.</t>
  </si>
  <si>
    <t>ITE may not apply to crops because of the mismatch between rooting depth and patterns of soil water availability. Texture effects are stronger in dry than in wet years for crops. ITE supported for GPP in natural vegetation during both wet and dry years.</t>
  </si>
  <si>
    <t>Compared crop yield and gross primary production of natural vegetation across soil textures and annual precipitation amounts.</t>
  </si>
  <si>
    <t>crops, all</t>
  </si>
  <si>
    <t>Developed species distribution models to determine how climate and soil control the relative abundance of C3 and C4 perennial grasses.</t>
  </si>
  <si>
    <t>Both C3 and C4 grasses were favored by deep soils and C4 species preferred sandier soils than C3 species, perhaps reflecting their reliance on warm-season precipitation which is at higher risk of loss to evaporation than cool-season precipitation.</t>
  </si>
  <si>
    <t>Compared below ground production between two semi-arid grassland under experimentally imposed drought and delayed rainy season treatments.</t>
  </si>
  <si>
    <t>Below ground net primary production decreased in the delayed monsoon treatment at both sites, but only decreased in the extreme drought treatment at the site with lower precipitation and coarser soils.</t>
  </si>
  <si>
    <t>common garden</t>
  </si>
  <si>
    <t>grases, subshrubs, forbs</t>
  </si>
  <si>
    <t>Compared performance of fibrous and tap-rooted species under experimentally imposed drought conditions across two soil textures.</t>
  </si>
  <si>
    <t>Three of five species showed either greater above ground biomass, below ground biomass, plant height, or root length on coarse- than fine-textured soils.</t>
  </si>
  <si>
    <t>Compared fractional vegetation cover across gradients of soil water and sand content, and topography.</t>
  </si>
  <si>
    <t>Fractional vegetation cover slightly higher a low sand content in driest parts of the study area.</t>
  </si>
  <si>
    <t>Compared ANPP and BNPP across dune slope positions under experimentally imposed low and high precipitation.</t>
  </si>
  <si>
    <t>ANPP increased with clay content (range: 0-1.2%) for precipitation addition treatments, but decresed with clay content for ambient conditions, and changes were primarily due to plant density (rather than height or richness).</t>
  </si>
  <si>
    <t>Under ambient and drought conditions, NPP declined with clay content (range: 0-1.2%), no clay effect for high precipitation treatment.</t>
  </si>
  <si>
    <t>Compared survival of planted shrub seedlings across soil textures and depths and a wet versus a dry year.</t>
  </si>
  <si>
    <t>Seedling survival was greatest and plants were tallest on coarser-textured soils. Survival was additoinally improved when percolation into deeper soil layers was restricted by a shallow rock layer.</t>
  </si>
  <si>
    <t>Compared soil moisture versus precipitation constraint on gross primary productivity across soil textures.</t>
  </si>
  <si>
    <t>Sand alleviates precipitation constraint, with largest effects in arid and semi-arid regions and much smaller effects in dry subhumic regins.</t>
  </si>
  <si>
    <t>Soil surface treatments and precipitation timing determine seedling development across southwestern US restoration sites</t>
  </si>
  <si>
    <t>Compared seedling emergence, survival, and growth across seeding and surface treatments.</t>
  </si>
  <si>
    <t>trees, shrubs, grass, forbs</t>
  </si>
  <si>
    <t>ITE Results</t>
  </si>
  <si>
    <t>Perennial forbs grew taller and more quickly on sandy sites.</t>
  </si>
  <si>
    <t>Compared vegetation cover across soil texture and precipitation gradients.</t>
  </si>
  <si>
    <t>NDVI exhibited ITE for MAP, annual precipitation, and annual growing season precipitation (but not non-growing season precipitation). Cross-over point depended on annual precipitation: lower in dry years and higher in wet years.</t>
  </si>
  <si>
    <t>Compared plant biomass and water cycling across sites under increased precipitation.</t>
  </si>
  <si>
    <t>Increased precipitation intensity increased shrub biomass across soil types at dry but not wet sites. Soil mositure increases were smallest on coarse-textured soils due to large losses to drainage and silty soils  retained more water from large precipitation events without losing it to drainage.</t>
  </si>
  <si>
    <t>Compared species richness effects on above ground carbon across climate and soil texture gradients.</t>
  </si>
  <si>
    <t>Sand increased and soil fine fraction (silt + clay) decreased aboveground carbon across the precipitation gradient.</t>
  </si>
  <si>
    <t>Compared maximum tree cover between coarse- and fine-textured soils along a precipitation gradient.</t>
  </si>
  <si>
    <t>ITE not evident for maximum tree cover--and coarse soils have higher maximum tree cover at both low and high precipitation (~30-900 mm MAP).</t>
  </si>
  <si>
    <t>Compared soil water balance consequences of evaporation with concurrent drainage across soil texturs.</t>
  </si>
  <si>
    <t>Provide mechanism and analytical model supporting ITE in arid regions whereby rapid drying of surface layers in coarse soils allows water to percolate rapidly to depths where it is protected from evaporation and available to plants. Greatest evaporative losses occur with small events on loamy soils.</t>
  </si>
  <si>
    <t>none</t>
  </si>
  <si>
    <t>Compared gross primary productivity across vegetation types and precipitation, temperature, and nitrogen gradients.</t>
  </si>
  <si>
    <t>Sand increased productivity across the precipitation gradient (~100-1500 mm MAP) for all vegetation types (grassland, shrubland, savanna).</t>
  </si>
  <si>
    <t>Compared crop yields across climate and soil gradients.</t>
  </si>
  <si>
    <t>Maximum yeild of crops on coarse-textured soils occurred at lower precipitation values than on fine-textured soils. Crop yields were higher on coarse-textured soils under dry conditions and lower under wetter conditions.</t>
  </si>
  <si>
    <t>Note: "field study" refers to studies that collected original field data and those that used existing datasets.</t>
  </si>
  <si>
    <t>Compared net primary productivity between disturbed and undisturbed habitat across precipitation and soil texture gradients.</t>
  </si>
  <si>
    <t>Recovery of shrubs lower on coarse- than fine-textured soils and at warm sites, perhaps due to recruitment failure when shallow surface layers dry out quickly.</t>
  </si>
  <si>
    <t>Compared relative abundance of shrubs between coarse- and fine-textured soils across a precipitation gradient.</t>
  </si>
  <si>
    <t>Shrub dominance occurred on fine-textured soils below ~380 mm MAP and on coarse-textured soils above this point, suggesting the opposite of the ITE.</t>
  </si>
  <si>
    <t>Compared ANPP across gradients of precipitation, temperature, soil texture, and nitrogen.</t>
  </si>
  <si>
    <t>Effects of soil texture on N mineralization tend to be small, particularly at low precipitation (~300 mm), as increased N-turnover due to decomposition on sandy soil and decreased organic matter storage tend to balance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</si>
</sst>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vertical="center" wrapText="1"/>
    </xf>
    <xf numFmtId="0" fontId="0" fillId="0" borderId="0" xfId="0" quotePrefix="1" applyAlignment="1">
      <alignment horizontal="center" vertical="center" wrapText="1"/>
    </xf>
    <xf numFmtId="0" fontId="0" fillId="0" borderId="0" xfId="0" applyAlignment="1">
      <alignment horizontal="left" vertical="center" wrapText="1"/>
    </xf>
    <xf numFmtId="3" fontId="0" fillId="0" borderId="0" xfId="0" applyNumberFormat="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1" fillId="0" borderId="0" xfId="0" applyFont="1"/>
    <xf numFmtId="0" fontId="1" fillId="0" borderId="1" xfId="0" applyFont="1" applyBorder="1"/>
    <xf numFmtId="0" fontId="0" fillId="0" borderId="0" xfId="0" applyAlignment="1">
      <alignment horizontal="left" vertical="center"/>
    </xf>
  </cellXfs>
  <cellStyles count="1">
    <cellStyle name="Normal" xfId="0" builtinId="0"/>
  </cellStyles>
  <dxfs count="2">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14F6-6FDF-4B85-B078-59F80837C9F6}">
  <dimension ref="A1:V34"/>
  <sheetViews>
    <sheetView topLeftCell="C1" zoomScale="82" workbookViewId="0">
      <pane ySplit="1" topLeftCell="A2" activePane="bottomLeft" state="frozen"/>
      <selection pane="bottomLeft" activeCell="T3" sqref="T3"/>
    </sheetView>
  </sheetViews>
  <sheetFormatPr defaultRowHeight="14.75" x14ac:dyDescent="0.75"/>
  <cols>
    <col min="1" max="1" width="28.1328125" style="4" customWidth="1"/>
    <col min="2" max="2" width="8" style="4" customWidth="1"/>
    <col min="3" max="3" width="11.7265625" style="4" customWidth="1"/>
    <col min="4" max="4" width="24.26953125" style="4" customWidth="1"/>
    <col min="5" max="5" width="15.26953125" style="4" customWidth="1"/>
    <col min="6" max="7" width="15.40625" style="4" customWidth="1"/>
    <col min="8" max="9" width="20.1796875" style="4" customWidth="1"/>
    <col min="10" max="10" width="18.54296875" style="4" customWidth="1"/>
    <col min="11" max="11" width="16.90625" style="4" customWidth="1"/>
    <col min="12" max="12" width="15.58984375" style="4" customWidth="1"/>
    <col min="13" max="13" width="14.40625" style="4" customWidth="1"/>
    <col min="14" max="14" width="13.953125" style="4" customWidth="1"/>
    <col min="15" max="15" width="14.40625" style="4" customWidth="1"/>
    <col min="16" max="16" width="14.58984375" style="4" customWidth="1"/>
    <col min="17" max="17" width="10.5" style="4" customWidth="1"/>
    <col min="18" max="18" width="16.76953125" style="4" customWidth="1"/>
    <col min="19" max="19" width="11.7265625" style="4" customWidth="1"/>
    <col min="20" max="20" width="35.1796875" style="7" customWidth="1"/>
    <col min="21" max="21" width="34.90625" style="7" customWidth="1"/>
    <col min="22" max="16384" width="8.7265625" style="4"/>
  </cols>
  <sheetData>
    <row r="1" spans="1:22" s="1" customFormat="1" ht="29.5" x14ac:dyDescent="0.75">
      <c r="A1" s="3" t="s">
        <v>0</v>
      </c>
      <c r="B1" s="3" t="s">
        <v>75</v>
      </c>
      <c r="C1" s="3" t="s">
        <v>10</v>
      </c>
      <c r="D1" s="3" t="s">
        <v>16</v>
      </c>
      <c r="E1" s="3" t="s">
        <v>3</v>
      </c>
      <c r="F1" s="3" t="s">
        <v>2</v>
      </c>
      <c r="G1" s="3" t="s">
        <v>17</v>
      </c>
      <c r="H1" s="3" t="s">
        <v>20</v>
      </c>
      <c r="I1" s="3" t="s">
        <v>36</v>
      </c>
      <c r="J1" s="3" t="s">
        <v>1</v>
      </c>
      <c r="K1" s="3" t="s">
        <v>5</v>
      </c>
      <c r="L1" s="3" t="s">
        <v>7</v>
      </c>
      <c r="M1" s="3" t="s">
        <v>47</v>
      </c>
      <c r="N1" s="3" t="s">
        <v>8</v>
      </c>
      <c r="O1" s="3" t="s">
        <v>48</v>
      </c>
      <c r="P1" s="3" t="s">
        <v>9</v>
      </c>
      <c r="Q1" s="3" t="s">
        <v>49</v>
      </c>
      <c r="R1" s="3" t="s">
        <v>28</v>
      </c>
      <c r="S1" s="3" t="s">
        <v>4</v>
      </c>
      <c r="T1" s="3" t="s">
        <v>6</v>
      </c>
      <c r="U1" s="1" t="s">
        <v>57</v>
      </c>
      <c r="V1" s="1" t="s">
        <v>464</v>
      </c>
    </row>
    <row r="2" spans="1:22" ht="59" x14ac:dyDescent="0.75">
      <c r="A2" s="4" t="s">
        <v>13</v>
      </c>
      <c r="B2" s="4">
        <v>2023</v>
      </c>
      <c r="C2" s="4" t="s">
        <v>11</v>
      </c>
      <c r="D2" s="4" t="s">
        <v>18</v>
      </c>
      <c r="E2" s="4" t="s">
        <v>19</v>
      </c>
      <c r="F2" s="4" t="s">
        <v>14</v>
      </c>
      <c r="G2" s="4">
        <v>209</v>
      </c>
      <c r="H2" s="4" t="s">
        <v>21</v>
      </c>
      <c r="I2" s="4" t="s">
        <v>35</v>
      </c>
      <c r="J2" s="4" t="s">
        <v>108</v>
      </c>
      <c r="K2" s="4" t="s">
        <v>115</v>
      </c>
      <c r="L2" s="4" t="s">
        <v>173</v>
      </c>
      <c r="M2" s="4" t="s">
        <v>22</v>
      </c>
      <c r="N2" s="4" t="s">
        <v>24</v>
      </c>
      <c r="O2" s="4" t="s">
        <v>22</v>
      </c>
      <c r="P2" s="4" t="s">
        <v>25</v>
      </c>
      <c r="Q2" s="4" t="s">
        <v>23</v>
      </c>
      <c r="R2" s="4" t="s">
        <v>12</v>
      </c>
      <c r="S2" s="4" t="s">
        <v>15</v>
      </c>
      <c r="T2" s="7" t="s">
        <v>465</v>
      </c>
      <c r="V2" s="4" t="s">
        <v>466</v>
      </c>
    </row>
    <row r="3" spans="1:22" ht="88.5" x14ac:dyDescent="0.75">
      <c r="A3" s="4" t="s">
        <v>27</v>
      </c>
      <c r="B3" s="4">
        <v>2023</v>
      </c>
      <c r="C3" s="4" t="s">
        <v>26</v>
      </c>
      <c r="D3" s="4" t="s">
        <v>32</v>
      </c>
      <c r="E3" s="4" t="s">
        <v>40</v>
      </c>
      <c r="F3" s="4" t="s">
        <v>33</v>
      </c>
      <c r="G3" s="4">
        <v>6851</v>
      </c>
      <c r="H3" s="4" t="s">
        <v>29</v>
      </c>
      <c r="I3" s="4" t="s">
        <v>37</v>
      </c>
      <c r="J3" s="4" t="s">
        <v>70</v>
      </c>
      <c r="K3" s="4" t="s">
        <v>115</v>
      </c>
      <c r="L3" s="4" t="s">
        <v>39</v>
      </c>
      <c r="M3" s="4" t="s">
        <v>31</v>
      </c>
      <c r="N3" s="6" t="s">
        <v>38</v>
      </c>
      <c r="O3" s="4" t="s">
        <v>31</v>
      </c>
      <c r="P3" s="4" t="s">
        <v>30</v>
      </c>
      <c r="Q3" s="4" t="s">
        <v>23</v>
      </c>
      <c r="R3" s="4" t="s">
        <v>53</v>
      </c>
      <c r="S3" s="4" t="s">
        <v>15</v>
      </c>
      <c r="T3" s="7" t="s">
        <v>34</v>
      </c>
      <c r="V3" s="4" t="s">
        <v>15</v>
      </c>
    </row>
    <row r="4" spans="1:22" ht="59" x14ac:dyDescent="0.75">
      <c r="A4" s="4" t="s">
        <v>42</v>
      </c>
      <c r="B4" s="4">
        <v>2022</v>
      </c>
      <c r="C4" s="4" t="s">
        <v>41</v>
      </c>
      <c r="D4" s="4" t="s">
        <v>43</v>
      </c>
      <c r="E4" s="4" t="s">
        <v>46</v>
      </c>
      <c r="F4" s="4" t="s">
        <v>33</v>
      </c>
      <c r="G4" s="4" t="s">
        <v>55</v>
      </c>
      <c r="H4" s="4" t="s">
        <v>29</v>
      </c>
      <c r="I4" s="4" t="s">
        <v>44</v>
      </c>
      <c r="J4" s="4" t="s">
        <v>69</v>
      </c>
      <c r="K4" s="4" t="s">
        <v>116</v>
      </c>
      <c r="L4" s="4" t="s">
        <v>55</v>
      </c>
      <c r="M4" s="4" t="s">
        <v>63</v>
      </c>
      <c r="N4" s="4" t="s">
        <v>45</v>
      </c>
      <c r="O4" s="4" t="s">
        <v>45</v>
      </c>
      <c r="P4" s="4" t="s">
        <v>55</v>
      </c>
      <c r="Q4" s="4" t="s">
        <v>65</v>
      </c>
      <c r="R4" s="4" t="s">
        <v>12</v>
      </c>
      <c r="S4" s="4" t="s">
        <v>15</v>
      </c>
      <c r="T4" s="7" t="s">
        <v>50</v>
      </c>
      <c r="V4" s="4" t="s">
        <v>15</v>
      </c>
    </row>
    <row r="5" spans="1:22" ht="73.75" x14ac:dyDescent="0.75">
      <c r="A5" s="4" t="s">
        <v>51</v>
      </c>
      <c r="B5" s="4">
        <v>2022</v>
      </c>
      <c r="C5" s="4" t="s">
        <v>11</v>
      </c>
      <c r="D5" s="4" t="s">
        <v>46</v>
      </c>
      <c r="E5" s="4" t="s">
        <v>46</v>
      </c>
      <c r="F5" s="4" t="s">
        <v>33</v>
      </c>
      <c r="G5" s="4" t="s">
        <v>55</v>
      </c>
      <c r="H5" s="4" t="s">
        <v>54</v>
      </c>
      <c r="I5" s="4" t="s">
        <v>52</v>
      </c>
      <c r="J5" s="4" t="s">
        <v>69</v>
      </c>
      <c r="K5" s="4" t="s">
        <v>117</v>
      </c>
      <c r="L5" s="4" t="s">
        <v>56</v>
      </c>
      <c r="M5" s="4" t="s">
        <v>64</v>
      </c>
      <c r="N5" s="4" t="s">
        <v>45</v>
      </c>
      <c r="O5" s="4" t="s">
        <v>45</v>
      </c>
      <c r="P5" s="4" t="s">
        <v>55</v>
      </c>
      <c r="Q5" s="4" t="s">
        <v>52</v>
      </c>
      <c r="R5" s="4" t="s">
        <v>12</v>
      </c>
      <c r="S5" s="4" t="s">
        <v>12</v>
      </c>
      <c r="T5" s="7" t="s">
        <v>55</v>
      </c>
      <c r="U5" s="7" t="s">
        <v>58</v>
      </c>
      <c r="V5" s="4" t="s">
        <v>12</v>
      </c>
    </row>
    <row r="6" spans="1:22" ht="132.75" x14ac:dyDescent="0.75">
      <c r="A6" s="4" t="s">
        <v>59</v>
      </c>
      <c r="B6" s="4">
        <v>2022</v>
      </c>
      <c r="C6" s="4" t="s">
        <v>41</v>
      </c>
      <c r="D6" s="4" t="s">
        <v>85</v>
      </c>
      <c r="E6" s="4" t="s">
        <v>46</v>
      </c>
      <c r="F6" s="4" t="s">
        <v>14</v>
      </c>
      <c r="G6" s="4">
        <v>79</v>
      </c>
      <c r="H6" s="4" t="s">
        <v>66</v>
      </c>
      <c r="I6" s="4" t="s">
        <v>60</v>
      </c>
      <c r="J6" s="4" t="s">
        <v>69</v>
      </c>
      <c r="K6" s="4" t="s">
        <v>116</v>
      </c>
      <c r="L6" s="4" t="s">
        <v>55</v>
      </c>
      <c r="M6" s="4" t="s">
        <v>62</v>
      </c>
      <c r="N6" s="4" t="s">
        <v>55</v>
      </c>
      <c r="O6" s="4" t="s">
        <v>65</v>
      </c>
      <c r="P6" s="4" t="s">
        <v>55</v>
      </c>
      <c r="Q6" s="4" t="s">
        <v>61</v>
      </c>
      <c r="R6" s="4" t="s">
        <v>12</v>
      </c>
      <c r="S6" s="4" t="s">
        <v>15</v>
      </c>
      <c r="T6" s="7" t="s">
        <v>72</v>
      </c>
      <c r="V6" s="4" t="s">
        <v>15</v>
      </c>
    </row>
    <row r="7" spans="1:22" ht="59" x14ac:dyDescent="0.75">
      <c r="A7" s="4" t="s">
        <v>59</v>
      </c>
      <c r="B7" s="4">
        <v>2022</v>
      </c>
      <c r="C7" s="4" t="s">
        <v>41</v>
      </c>
      <c r="D7" s="4" t="s">
        <v>85</v>
      </c>
      <c r="E7" s="4" t="s">
        <v>46</v>
      </c>
      <c r="F7" s="4" t="s">
        <v>33</v>
      </c>
      <c r="G7" s="4" t="s">
        <v>55</v>
      </c>
      <c r="H7" s="4" t="s">
        <v>67</v>
      </c>
      <c r="I7" s="4" t="s">
        <v>68</v>
      </c>
      <c r="J7" s="4" t="s">
        <v>69</v>
      </c>
      <c r="K7" s="4" t="s">
        <v>116</v>
      </c>
      <c r="L7" s="4" t="s">
        <v>55</v>
      </c>
      <c r="M7" s="4" t="s">
        <v>62</v>
      </c>
      <c r="N7" s="4" t="s">
        <v>55</v>
      </c>
      <c r="O7" s="4" t="s">
        <v>65</v>
      </c>
      <c r="P7" s="4" t="s">
        <v>55</v>
      </c>
      <c r="Q7" s="4" t="s">
        <v>61</v>
      </c>
      <c r="R7" s="4" t="s">
        <v>12</v>
      </c>
      <c r="S7" s="4" t="s">
        <v>12</v>
      </c>
      <c r="T7" s="7" t="s">
        <v>71</v>
      </c>
      <c r="U7" s="7" t="s">
        <v>74</v>
      </c>
      <c r="V7" s="4" t="s">
        <v>15</v>
      </c>
    </row>
    <row r="8" spans="1:22" ht="118" x14ac:dyDescent="0.75">
      <c r="A8" s="4" t="s">
        <v>76</v>
      </c>
      <c r="B8" s="4">
        <v>2020</v>
      </c>
      <c r="C8" s="4" t="s">
        <v>11</v>
      </c>
      <c r="D8" s="4" t="s">
        <v>86</v>
      </c>
      <c r="E8" s="4" t="s">
        <v>79</v>
      </c>
      <c r="F8" s="4" t="s">
        <v>14</v>
      </c>
      <c r="G8" s="4">
        <v>8</v>
      </c>
      <c r="H8" s="4" t="s">
        <v>80</v>
      </c>
      <c r="I8" s="4" t="s">
        <v>81</v>
      </c>
      <c r="J8" s="4" t="s">
        <v>87</v>
      </c>
      <c r="K8" s="4" t="s">
        <v>118</v>
      </c>
      <c r="L8" s="4" t="s">
        <v>82</v>
      </c>
      <c r="M8" s="4" t="s">
        <v>55</v>
      </c>
      <c r="N8" s="4" t="s">
        <v>45</v>
      </c>
      <c r="O8" s="4" t="s">
        <v>45</v>
      </c>
      <c r="P8" s="4" t="s">
        <v>83</v>
      </c>
      <c r="Q8" s="4" t="s">
        <v>84</v>
      </c>
      <c r="R8" s="4" t="s">
        <v>15</v>
      </c>
      <c r="S8" s="4" t="s">
        <v>15</v>
      </c>
      <c r="T8" s="7" t="s">
        <v>88</v>
      </c>
      <c r="V8" s="4" t="s">
        <v>15</v>
      </c>
    </row>
    <row r="9" spans="1:22" ht="157.5" customHeight="1" x14ac:dyDescent="0.75">
      <c r="A9" s="4" t="s">
        <v>89</v>
      </c>
      <c r="B9" s="4">
        <v>2019</v>
      </c>
      <c r="C9" s="4" t="s">
        <v>90</v>
      </c>
      <c r="D9" s="4" t="s">
        <v>134</v>
      </c>
      <c r="E9" s="4" t="s">
        <v>46</v>
      </c>
      <c r="F9" s="4" t="s">
        <v>14</v>
      </c>
      <c r="G9" s="4">
        <v>2084</v>
      </c>
      <c r="H9" s="4" t="s">
        <v>91</v>
      </c>
      <c r="I9" s="4" t="s">
        <v>92</v>
      </c>
      <c r="J9" s="4" t="s">
        <v>108</v>
      </c>
      <c r="K9" s="4" t="s">
        <v>115</v>
      </c>
      <c r="L9" s="4" t="s">
        <v>98</v>
      </c>
      <c r="M9" s="4" t="s">
        <v>22</v>
      </c>
      <c r="N9" s="4" t="s">
        <v>55</v>
      </c>
      <c r="O9" s="4" t="s">
        <v>22</v>
      </c>
      <c r="P9" s="4" t="s">
        <v>99</v>
      </c>
      <c r="Q9" s="4" t="s">
        <v>93</v>
      </c>
      <c r="R9" s="4" t="s">
        <v>12</v>
      </c>
      <c r="S9" s="4" t="s">
        <v>15</v>
      </c>
      <c r="T9" s="7" t="s">
        <v>94</v>
      </c>
      <c r="V9" s="4" t="s">
        <v>15</v>
      </c>
    </row>
    <row r="10" spans="1:22" ht="44.25" x14ac:dyDescent="0.75">
      <c r="A10" s="4" t="s">
        <v>95</v>
      </c>
      <c r="B10" s="4">
        <v>2019</v>
      </c>
      <c r="C10" s="4" t="s">
        <v>90</v>
      </c>
      <c r="D10" s="4" t="s">
        <v>135</v>
      </c>
      <c r="E10" s="4" t="s">
        <v>96</v>
      </c>
      <c r="F10" s="4" t="s">
        <v>33</v>
      </c>
      <c r="G10" s="4" t="s">
        <v>55</v>
      </c>
      <c r="H10" s="4" t="s">
        <v>100</v>
      </c>
      <c r="I10" s="4" t="s">
        <v>97</v>
      </c>
      <c r="J10" s="4" t="s">
        <v>108</v>
      </c>
      <c r="K10" s="4" t="s">
        <v>118</v>
      </c>
      <c r="L10" s="4" t="s">
        <v>102</v>
      </c>
      <c r="M10" s="4" t="s">
        <v>55</v>
      </c>
      <c r="N10" s="4" t="s">
        <v>45</v>
      </c>
      <c r="O10" s="4" t="s">
        <v>45</v>
      </c>
      <c r="P10" s="4" t="s">
        <v>101</v>
      </c>
      <c r="Q10" s="4" t="s">
        <v>23</v>
      </c>
      <c r="R10" s="4" t="s">
        <v>15</v>
      </c>
      <c r="S10" s="4" t="s">
        <v>73</v>
      </c>
      <c r="T10" s="7" t="s">
        <v>103</v>
      </c>
      <c r="V10" s="4" t="s">
        <v>15</v>
      </c>
    </row>
    <row r="11" spans="1:22" ht="37" customHeight="1" x14ac:dyDescent="0.75">
      <c r="A11" s="4" t="s">
        <v>104</v>
      </c>
      <c r="B11" s="4">
        <v>2015</v>
      </c>
      <c r="C11" s="4" t="s">
        <v>90</v>
      </c>
      <c r="D11" s="4" t="s">
        <v>134</v>
      </c>
      <c r="E11" s="4" t="s">
        <v>105</v>
      </c>
      <c r="F11" s="4" t="s">
        <v>14</v>
      </c>
      <c r="G11" s="4">
        <v>40</v>
      </c>
      <c r="H11" s="4" t="s">
        <v>91</v>
      </c>
      <c r="I11" s="4" t="s">
        <v>106</v>
      </c>
      <c r="J11" s="4" t="s">
        <v>69</v>
      </c>
      <c r="K11" s="4" t="s">
        <v>115</v>
      </c>
      <c r="L11" s="4" t="s">
        <v>109</v>
      </c>
      <c r="M11" s="4" t="s">
        <v>55</v>
      </c>
      <c r="N11" s="4" t="s">
        <v>45</v>
      </c>
      <c r="O11" s="4" t="s">
        <v>45</v>
      </c>
      <c r="P11" s="4" t="s">
        <v>110</v>
      </c>
      <c r="Q11" s="4" t="s">
        <v>93</v>
      </c>
      <c r="R11" s="4" t="s">
        <v>12</v>
      </c>
      <c r="S11" s="4" t="s">
        <v>73</v>
      </c>
      <c r="T11" s="7" t="s">
        <v>107</v>
      </c>
      <c r="V11" s="4" t="s">
        <v>15</v>
      </c>
    </row>
    <row r="12" spans="1:22" ht="88.5" x14ac:dyDescent="0.75">
      <c r="A12" s="4" t="s">
        <v>111</v>
      </c>
      <c r="B12" s="4">
        <v>2015</v>
      </c>
      <c r="C12" s="4" t="s">
        <v>112</v>
      </c>
      <c r="D12" s="4" t="s">
        <v>46</v>
      </c>
      <c r="E12" s="4" t="s">
        <v>78</v>
      </c>
      <c r="F12" s="4" t="s">
        <v>33</v>
      </c>
      <c r="G12" s="8">
        <v>116191</v>
      </c>
      <c r="H12" s="4" t="s">
        <v>113</v>
      </c>
      <c r="I12" s="4" t="s">
        <v>55</v>
      </c>
      <c r="J12" s="4" t="s">
        <v>108</v>
      </c>
      <c r="K12" s="4" t="s">
        <v>117</v>
      </c>
      <c r="L12" s="4" t="s">
        <v>124</v>
      </c>
      <c r="M12" s="4" t="s">
        <v>123</v>
      </c>
      <c r="N12" s="4" t="s">
        <v>55</v>
      </c>
      <c r="O12" s="4" t="s">
        <v>123</v>
      </c>
      <c r="P12" s="4" t="s">
        <v>120</v>
      </c>
      <c r="Q12" s="4" t="s">
        <v>55</v>
      </c>
      <c r="R12" s="4" t="s">
        <v>15</v>
      </c>
      <c r="S12" s="4" t="s">
        <v>15</v>
      </c>
      <c r="T12" s="7" t="s">
        <v>122</v>
      </c>
      <c r="V12" s="4" t="s">
        <v>15</v>
      </c>
    </row>
    <row r="13" spans="1:22" ht="88.5" x14ac:dyDescent="0.75">
      <c r="A13" s="4" t="s">
        <v>111</v>
      </c>
      <c r="B13" s="4">
        <v>2015</v>
      </c>
      <c r="C13" s="4" t="s">
        <v>112</v>
      </c>
      <c r="D13" s="4" t="s">
        <v>125</v>
      </c>
      <c r="E13" s="4" t="s">
        <v>78</v>
      </c>
      <c r="F13" s="4" t="s">
        <v>14</v>
      </c>
      <c r="G13" s="4">
        <v>9</v>
      </c>
      <c r="H13" s="4" t="s">
        <v>114</v>
      </c>
      <c r="I13" s="4" t="s">
        <v>126</v>
      </c>
      <c r="J13" s="4" t="s">
        <v>108</v>
      </c>
      <c r="K13" s="4" t="s">
        <v>118</v>
      </c>
      <c r="L13" s="4" t="s">
        <v>119</v>
      </c>
      <c r="M13" s="4" t="s">
        <v>93</v>
      </c>
      <c r="N13" s="4" t="s">
        <v>45</v>
      </c>
      <c r="O13" s="4" t="s">
        <v>45</v>
      </c>
      <c r="P13" s="4" t="s">
        <v>121</v>
      </c>
      <c r="Q13" s="4" t="s">
        <v>93</v>
      </c>
      <c r="R13" s="4" t="s">
        <v>15</v>
      </c>
      <c r="S13" s="4" t="s">
        <v>15</v>
      </c>
      <c r="T13" s="7" t="s">
        <v>127</v>
      </c>
      <c r="V13" s="4" t="s">
        <v>15</v>
      </c>
    </row>
    <row r="14" spans="1:22" ht="132.75" x14ac:dyDescent="0.75">
      <c r="A14" s="4" t="s">
        <v>128</v>
      </c>
      <c r="B14" s="4">
        <v>2009</v>
      </c>
      <c r="C14" s="4" t="s">
        <v>26</v>
      </c>
      <c r="D14" s="4" t="s">
        <v>129</v>
      </c>
      <c r="E14" s="4" t="s">
        <v>46</v>
      </c>
      <c r="F14" s="4" t="s">
        <v>33</v>
      </c>
      <c r="G14" s="4" t="s">
        <v>55</v>
      </c>
      <c r="H14" s="4" t="s">
        <v>130</v>
      </c>
      <c r="I14" s="4" t="s">
        <v>136</v>
      </c>
      <c r="J14" s="4" t="s">
        <v>133</v>
      </c>
      <c r="K14" s="4" t="s">
        <v>115</v>
      </c>
      <c r="L14" s="4" t="s">
        <v>131</v>
      </c>
      <c r="M14" s="4" t="s">
        <v>136</v>
      </c>
      <c r="N14" s="4" t="s">
        <v>55</v>
      </c>
      <c r="O14" s="4" t="s">
        <v>136</v>
      </c>
      <c r="P14" s="4" t="s">
        <v>55</v>
      </c>
      <c r="Q14" s="4" t="s">
        <v>55</v>
      </c>
      <c r="R14" s="4" t="s">
        <v>12</v>
      </c>
      <c r="S14" s="4" t="s">
        <v>15</v>
      </c>
      <c r="T14" s="7" t="s">
        <v>137</v>
      </c>
      <c r="U14" s="7" t="s">
        <v>467</v>
      </c>
      <c r="V14" s="4" t="s">
        <v>15</v>
      </c>
    </row>
    <row r="15" spans="1:22" ht="214.5" customHeight="1" x14ac:dyDescent="0.75">
      <c r="A15" s="4" t="s">
        <v>138</v>
      </c>
      <c r="B15" s="4">
        <v>2009</v>
      </c>
      <c r="C15" s="4" t="s">
        <v>11</v>
      </c>
      <c r="D15" s="4" t="s">
        <v>86</v>
      </c>
      <c r="E15" s="4" t="s">
        <v>78</v>
      </c>
      <c r="F15" s="4" t="s">
        <v>139</v>
      </c>
      <c r="G15" s="4" t="s">
        <v>55</v>
      </c>
      <c r="H15" s="4" t="s">
        <v>140</v>
      </c>
      <c r="I15" s="4" t="s">
        <v>45</v>
      </c>
      <c r="J15" s="4" t="s">
        <v>45</v>
      </c>
      <c r="K15" s="4" t="s">
        <v>45</v>
      </c>
      <c r="L15" s="4" t="s">
        <v>141</v>
      </c>
      <c r="M15" s="4" t="s">
        <v>45</v>
      </c>
      <c r="N15" s="4" t="s">
        <v>142</v>
      </c>
      <c r="O15" s="4" t="s">
        <v>45</v>
      </c>
      <c r="P15" s="4" t="s">
        <v>143</v>
      </c>
      <c r="Q15" s="4" t="s">
        <v>45</v>
      </c>
      <c r="R15" s="4" t="s">
        <v>12</v>
      </c>
      <c r="S15" s="4" t="s">
        <v>73</v>
      </c>
      <c r="T15" s="7" t="s">
        <v>144</v>
      </c>
      <c r="U15" s="7" t="s">
        <v>197</v>
      </c>
      <c r="V15" s="4" t="s">
        <v>15</v>
      </c>
    </row>
    <row r="16" spans="1:22" ht="59" x14ac:dyDescent="0.75">
      <c r="A16" s="4" t="s">
        <v>145</v>
      </c>
      <c r="B16" s="4">
        <v>2009</v>
      </c>
      <c r="C16" s="4" t="s">
        <v>90</v>
      </c>
      <c r="D16" s="4" t="s">
        <v>148</v>
      </c>
      <c r="E16" s="4" t="s">
        <v>46</v>
      </c>
      <c r="F16" s="4" t="s">
        <v>33</v>
      </c>
      <c r="G16" s="4" t="s">
        <v>55</v>
      </c>
      <c r="H16" s="4" t="s">
        <v>149</v>
      </c>
      <c r="I16" s="4" t="s">
        <v>23</v>
      </c>
      <c r="J16" s="4" t="s">
        <v>69</v>
      </c>
      <c r="K16" s="4" t="s">
        <v>118</v>
      </c>
      <c r="L16" s="4" t="s">
        <v>146</v>
      </c>
      <c r="M16" s="4" t="s">
        <v>45</v>
      </c>
      <c r="N16" s="4" t="s">
        <v>147</v>
      </c>
      <c r="O16" s="4" t="s">
        <v>55</v>
      </c>
      <c r="P16" s="4" t="s">
        <v>55</v>
      </c>
      <c r="Q16" s="4" t="s">
        <v>55</v>
      </c>
      <c r="R16" s="4" t="s">
        <v>12</v>
      </c>
      <c r="S16" s="4" t="s">
        <v>15</v>
      </c>
      <c r="T16" s="7" t="s">
        <v>150</v>
      </c>
      <c r="V16" s="4" t="s">
        <v>15</v>
      </c>
    </row>
    <row r="17" spans="1:22" ht="347.5" customHeight="1" x14ac:dyDescent="0.75">
      <c r="A17" s="4" t="s">
        <v>151</v>
      </c>
      <c r="B17" s="4">
        <v>2008</v>
      </c>
      <c r="C17" s="4" t="s">
        <v>90</v>
      </c>
      <c r="D17" s="4" t="s">
        <v>129</v>
      </c>
      <c r="E17" s="4" t="s">
        <v>194</v>
      </c>
      <c r="F17" s="4" t="s">
        <v>139</v>
      </c>
      <c r="G17" s="4" t="s">
        <v>55</v>
      </c>
      <c r="H17" s="4" t="s">
        <v>155</v>
      </c>
      <c r="I17" s="4" t="s">
        <v>45</v>
      </c>
      <c r="J17" s="4" t="s">
        <v>69</v>
      </c>
      <c r="K17" s="4" t="s">
        <v>45</v>
      </c>
      <c r="L17" s="4" t="s">
        <v>152</v>
      </c>
      <c r="M17" s="4" t="s">
        <v>45</v>
      </c>
      <c r="N17" s="4" t="s">
        <v>153</v>
      </c>
      <c r="O17" s="4" t="s">
        <v>45</v>
      </c>
      <c r="P17" s="4" t="s">
        <v>154</v>
      </c>
      <c r="Q17" s="4" t="s">
        <v>45</v>
      </c>
      <c r="R17" s="4" t="s">
        <v>12</v>
      </c>
      <c r="S17" s="4" t="s">
        <v>15</v>
      </c>
      <c r="T17" s="7" t="s">
        <v>156</v>
      </c>
      <c r="V17" s="4" t="s">
        <v>15</v>
      </c>
    </row>
    <row r="18" spans="1:22" ht="44.25" x14ac:dyDescent="0.75">
      <c r="A18" s="4" t="s">
        <v>157</v>
      </c>
      <c r="B18" s="4">
        <v>2008</v>
      </c>
      <c r="C18" s="4" t="s">
        <v>11</v>
      </c>
      <c r="D18" s="4" t="s">
        <v>45</v>
      </c>
      <c r="E18" s="4" t="s">
        <v>45</v>
      </c>
      <c r="F18" s="4" t="s">
        <v>14</v>
      </c>
      <c r="G18" s="4">
        <v>1</v>
      </c>
      <c r="H18" s="4" t="s">
        <v>158</v>
      </c>
      <c r="I18" s="4" t="s">
        <v>45</v>
      </c>
      <c r="J18" s="4" t="s">
        <v>162</v>
      </c>
      <c r="K18" s="4" t="s">
        <v>118</v>
      </c>
      <c r="L18" s="4" t="s">
        <v>45</v>
      </c>
      <c r="M18" s="4" t="s">
        <v>45</v>
      </c>
      <c r="N18" s="4" t="s">
        <v>45</v>
      </c>
      <c r="O18" s="4" t="s">
        <v>45</v>
      </c>
      <c r="P18" s="4" t="s">
        <v>159</v>
      </c>
      <c r="Q18" s="4" t="s">
        <v>45</v>
      </c>
      <c r="R18" s="4" t="s">
        <v>160</v>
      </c>
      <c r="S18" s="4" t="s">
        <v>15</v>
      </c>
      <c r="T18" s="7" t="s">
        <v>161</v>
      </c>
      <c r="V18" s="4" t="s">
        <v>15</v>
      </c>
    </row>
    <row r="19" spans="1:22" ht="59" x14ac:dyDescent="0.75">
      <c r="A19" s="4" t="s">
        <v>163</v>
      </c>
      <c r="B19" s="4">
        <v>2008</v>
      </c>
      <c r="C19" s="4" t="s">
        <v>90</v>
      </c>
      <c r="D19" s="4" t="s">
        <v>129</v>
      </c>
      <c r="E19" s="4" t="s">
        <v>46</v>
      </c>
      <c r="F19" s="4" t="s">
        <v>14</v>
      </c>
      <c r="G19" s="4">
        <v>1</v>
      </c>
      <c r="H19" s="4" t="s">
        <v>149</v>
      </c>
      <c r="I19" s="4" t="s">
        <v>45</v>
      </c>
      <c r="J19" s="4" t="s">
        <v>69</v>
      </c>
      <c r="K19" s="4" t="s">
        <v>118</v>
      </c>
      <c r="L19" s="4" t="s">
        <v>164</v>
      </c>
      <c r="M19" s="4" t="s">
        <v>45</v>
      </c>
      <c r="N19" s="4" t="s">
        <v>45</v>
      </c>
      <c r="O19" s="4" t="s">
        <v>45</v>
      </c>
      <c r="P19" s="4" t="s">
        <v>165</v>
      </c>
      <c r="Q19" s="4" t="s">
        <v>45</v>
      </c>
      <c r="R19" s="4" t="s">
        <v>12</v>
      </c>
      <c r="S19" s="4" t="s">
        <v>15</v>
      </c>
      <c r="T19" s="7" t="s">
        <v>166</v>
      </c>
      <c r="V19" s="4" t="s">
        <v>15</v>
      </c>
    </row>
    <row r="20" spans="1:22" ht="59" x14ac:dyDescent="0.75">
      <c r="A20" s="4" t="s">
        <v>167</v>
      </c>
      <c r="B20" s="4">
        <v>2007</v>
      </c>
      <c r="C20" s="4" t="s">
        <v>11</v>
      </c>
      <c r="D20" s="4" t="s">
        <v>86</v>
      </c>
      <c r="E20" s="4" t="s">
        <v>78</v>
      </c>
      <c r="F20" s="4" t="s">
        <v>33</v>
      </c>
      <c r="G20" s="8">
        <v>13416</v>
      </c>
      <c r="H20" s="4" t="s">
        <v>168</v>
      </c>
      <c r="I20" s="4" t="s">
        <v>132</v>
      </c>
      <c r="J20" s="4" t="s">
        <v>108</v>
      </c>
      <c r="K20" s="4" t="s">
        <v>117</v>
      </c>
      <c r="L20" s="4" t="s">
        <v>171</v>
      </c>
      <c r="M20" s="4" t="s">
        <v>123</v>
      </c>
      <c r="N20" s="4" t="s">
        <v>45</v>
      </c>
      <c r="O20" s="4" t="s">
        <v>45</v>
      </c>
      <c r="P20" s="4" t="s">
        <v>169</v>
      </c>
      <c r="Q20" s="4" t="s">
        <v>170</v>
      </c>
      <c r="R20" s="4" t="s">
        <v>15</v>
      </c>
      <c r="S20" s="4" t="s">
        <v>12</v>
      </c>
      <c r="T20" s="7" t="s">
        <v>172</v>
      </c>
      <c r="V20" s="4" t="s">
        <v>15</v>
      </c>
    </row>
    <row r="21" spans="1:22" ht="118" x14ac:dyDescent="0.75">
      <c r="A21" s="4" t="s">
        <v>174</v>
      </c>
      <c r="B21" s="4">
        <v>2007</v>
      </c>
      <c r="C21" s="4" t="s">
        <v>26</v>
      </c>
      <c r="D21" s="4" t="s">
        <v>176</v>
      </c>
      <c r="E21" s="4" t="s">
        <v>46</v>
      </c>
      <c r="F21" s="4" t="s">
        <v>14</v>
      </c>
      <c r="G21" s="4">
        <v>41</v>
      </c>
      <c r="H21" s="4" t="s">
        <v>177</v>
      </c>
      <c r="I21" s="4" t="s">
        <v>178</v>
      </c>
      <c r="J21" s="4" t="s">
        <v>108</v>
      </c>
      <c r="K21" s="4" t="s">
        <v>118</v>
      </c>
      <c r="L21" s="4" t="s">
        <v>175</v>
      </c>
      <c r="M21" s="4" t="s">
        <v>45</v>
      </c>
      <c r="N21" s="4" t="s">
        <v>45</v>
      </c>
      <c r="O21" s="4" t="s">
        <v>45</v>
      </c>
      <c r="P21" s="4" t="s">
        <v>179</v>
      </c>
      <c r="Q21" s="4" t="s">
        <v>55</v>
      </c>
      <c r="R21" s="4" t="s">
        <v>12</v>
      </c>
      <c r="S21" s="4" t="s">
        <v>12</v>
      </c>
      <c r="T21" s="7" t="s">
        <v>180</v>
      </c>
      <c r="U21" s="7" t="s">
        <v>181</v>
      </c>
      <c r="V21" s="4" t="s">
        <v>12</v>
      </c>
    </row>
    <row r="22" spans="1:22" ht="177" x14ac:dyDescent="0.75">
      <c r="A22" s="4" t="s">
        <v>182</v>
      </c>
      <c r="B22" s="4">
        <v>2005</v>
      </c>
      <c r="C22" s="4" t="s">
        <v>90</v>
      </c>
      <c r="D22" s="4" t="s">
        <v>134</v>
      </c>
      <c r="E22" s="4" t="s">
        <v>193</v>
      </c>
      <c r="F22" s="4" t="s">
        <v>14</v>
      </c>
      <c r="G22" s="4">
        <v>2</v>
      </c>
      <c r="H22" s="4" t="s">
        <v>184</v>
      </c>
      <c r="I22" s="4" t="s">
        <v>45</v>
      </c>
      <c r="J22" s="4" t="s">
        <v>162</v>
      </c>
      <c r="K22" s="4" t="s">
        <v>118</v>
      </c>
      <c r="L22" s="4" t="s">
        <v>185</v>
      </c>
      <c r="M22" s="4" t="s">
        <v>45</v>
      </c>
      <c r="N22" s="4" t="s">
        <v>45</v>
      </c>
      <c r="O22" s="4" t="s">
        <v>45</v>
      </c>
      <c r="P22" s="4" t="s">
        <v>186</v>
      </c>
      <c r="Q22" s="4" t="s">
        <v>45</v>
      </c>
      <c r="R22" s="4" t="s">
        <v>12</v>
      </c>
      <c r="S22" s="4" t="s">
        <v>15</v>
      </c>
      <c r="T22" s="7" t="s">
        <v>187</v>
      </c>
      <c r="V22" s="4" t="s">
        <v>15</v>
      </c>
    </row>
    <row r="23" spans="1:22" ht="260.75" customHeight="1" x14ac:dyDescent="0.75">
      <c r="A23" s="4" t="s">
        <v>188</v>
      </c>
      <c r="B23" s="4">
        <v>2001</v>
      </c>
      <c r="C23" s="4" t="s">
        <v>90</v>
      </c>
      <c r="D23" s="4" t="s">
        <v>135</v>
      </c>
      <c r="E23" s="4" t="s">
        <v>192</v>
      </c>
      <c r="F23" s="4" t="s">
        <v>139</v>
      </c>
      <c r="G23" s="4" t="s">
        <v>55</v>
      </c>
      <c r="H23" s="4" t="s">
        <v>184</v>
      </c>
      <c r="I23" s="4" t="s">
        <v>45</v>
      </c>
      <c r="J23" s="4" t="s">
        <v>69</v>
      </c>
      <c r="K23" s="4" t="s">
        <v>118</v>
      </c>
      <c r="L23" s="4" t="s">
        <v>189</v>
      </c>
      <c r="M23" s="4" t="s">
        <v>45</v>
      </c>
      <c r="N23" s="4" t="s">
        <v>190</v>
      </c>
      <c r="O23" s="4" t="s">
        <v>45</v>
      </c>
      <c r="P23" s="4" t="s">
        <v>191</v>
      </c>
      <c r="Q23" s="4" t="s">
        <v>45</v>
      </c>
      <c r="R23" s="4" t="s">
        <v>12</v>
      </c>
      <c r="S23" s="4" t="s">
        <v>15</v>
      </c>
      <c r="T23" s="7" t="s">
        <v>195</v>
      </c>
      <c r="U23" s="7" t="s">
        <v>197</v>
      </c>
      <c r="V23" s="4" t="s">
        <v>15</v>
      </c>
    </row>
    <row r="24" spans="1:22" ht="191.75" x14ac:dyDescent="0.75">
      <c r="A24" s="4" t="s">
        <v>196</v>
      </c>
      <c r="B24" s="4">
        <v>2001</v>
      </c>
      <c r="C24" s="4" t="s">
        <v>90</v>
      </c>
      <c r="D24" s="4" t="s">
        <v>129</v>
      </c>
      <c r="E24" s="4" t="s">
        <v>194</v>
      </c>
      <c r="F24" s="4" t="s">
        <v>139</v>
      </c>
      <c r="G24" s="4" t="s">
        <v>55</v>
      </c>
      <c r="H24" s="4" t="s">
        <v>198</v>
      </c>
      <c r="I24" s="4" t="s">
        <v>45</v>
      </c>
      <c r="J24" s="4" t="s">
        <v>69</v>
      </c>
      <c r="K24" s="4" t="s">
        <v>118</v>
      </c>
      <c r="L24" s="4" t="s">
        <v>199</v>
      </c>
      <c r="M24" s="4" t="s">
        <v>45</v>
      </c>
      <c r="N24" s="4" t="s">
        <v>45</v>
      </c>
      <c r="O24" s="4" t="s">
        <v>45</v>
      </c>
      <c r="P24" s="4" t="s">
        <v>200</v>
      </c>
      <c r="Q24" s="4" t="s">
        <v>45</v>
      </c>
      <c r="R24" s="4" t="s">
        <v>12</v>
      </c>
      <c r="S24" s="4" t="s">
        <v>15</v>
      </c>
      <c r="T24" s="7" t="s">
        <v>201</v>
      </c>
      <c r="U24" s="7" t="s">
        <v>197</v>
      </c>
      <c r="V24" s="4" t="s">
        <v>15</v>
      </c>
    </row>
    <row r="25" spans="1:22" ht="73.75" x14ac:dyDescent="0.75">
      <c r="A25" s="4" t="s">
        <v>202</v>
      </c>
      <c r="B25" s="4">
        <v>1998</v>
      </c>
      <c r="C25" s="4" t="s">
        <v>90</v>
      </c>
      <c r="D25" s="4" t="s">
        <v>129</v>
      </c>
      <c r="E25" s="4" t="s">
        <v>40</v>
      </c>
      <c r="F25" s="4" t="s">
        <v>14</v>
      </c>
      <c r="G25" s="4">
        <v>14</v>
      </c>
      <c r="H25" s="4" t="s">
        <v>207</v>
      </c>
      <c r="I25" s="4" t="s">
        <v>206</v>
      </c>
      <c r="J25" s="4" t="s">
        <v>69</v>
      </c>
      <c r="K25" s="4" t="s">
        <v>115</v>
      </c>
      <c r="L25" s="4" t="s">
        <v>203</v>
      </c>
      <c r="M25" s="4" t="s">
        <v>45</v>
      </c>
      <c r="N25" s="4" t="s">
        <v>204</v>
      </c>
      <c r="O25" s="4" t="s">
        <v>45</v>
      </c>
      <c r="P25" s="4" t="s">
        <v>205</v>
      </c>
      <c r="Q25" s="4" t="s">
        <v>45</v>
      </c>
      <c r="R25" s="4" t="s">
        <v>12</v>
      </c>
      <c r="S25" s="4" t="s">
        <v>12</v>
      </c>
      <c r="T25" s="7" t="s">
        <v>208</v>
      </c>
      <c r="V25" s="4" t="s">
        <v>15</v>
      </c>
    </row>
    <row r="26" spans="1:22" ht="181.25" customHeight="1" x14ac:dyDescent="0.75">
      <c r="A26" s="4" t="s">
        <v>209</v>
      </c>
      <c r="B26" s="4">
        <v>1997</v>
      </c>
      <c r="C26" s="4" t="s">
        <v>90</v>
      </c>
      <c r="D26" s="4" t="s">
        <v>129</v>
      </c>
      <c r="E26" s="4" t="s">
        <v>46</v>
      </c>
      <c r="F26" s="4" t="s">
        <v>14</v>
      </c>
      <c r="G26" s="4" t="s">
        <v>55</v>
      </c>
      <c r="H26" s="4" t="s">
        <v>149</v>
      </c>
      <c r="I26" s="4" t="s">
        <v>55</v>
      </c>
      <c r="J26" s="4" t="s">
        <v>210</v>
      </c>
      <c r="K26" s="4" t="s">
        <v>115</v>
      </c>
      <c r="L26" s="4" t="s">
        <v>211</v>
      </c>
      <c r="M26" s="4" t="s">
        <v>45</v>
      </c>
      <c r="N26" s="4" t="s">
        <v>55</v>
      </c>
      <c r="O26" s="4" t="s">
        <v>55</v>
      </c>
      <c r="P26" s="4" t="s">
        <v>46</v>
      </c>
      <c r="Q26" s="4" t="s">
        <v>45</v>
      </c>
      <c r="R26" s="4" t="s">
        <v>12</v>
      </c>
      <c r="S26" s="4" t="s">
        <v>15</v>
      </c>
      <c r="T26" s="7" t="s">
        <v>212</v>
      </c>
      <c r="V26" s="4" t="s">
        <v>15</v>
      </c>
    </row>
    <row r="27" spans="1:22" ht="118" x14ac:dyDescent="0.75">
      <c r="A27" s="4" t="s">
        <v>213</v>
      </c>
      <c r="B27" s="4">
        <v>1989</v>
      </c>
      <c r="C27" s="4" t="s">
        <v>90</v>
      </c>
      <c r="D27" s="4" t="s">
        <v>129</v>
      </c>
      <c r="E27" s="4" t="s">
        <v>46</v>
      </c>
      <c r="F27" s="4" t="s">
        <v>14</v>
      </c>
      <c r="G27" s="4">
        <v>5</v>
      </c>
      <c r="H27" s="4" t="s">
        <v>214</v>
      </c>
      <c r="I27" s="4" t="s">
        <v>206</v>
      </c>
      <c r="J27" s="4" t="s">
        <v>69</v>
      </c>
      <c r="K27" s="4" t="s">
        <v>118</v>
      </c>
      <c r="L27" s="4" t="s">
        <v>199</v>
      </c>
      <c r="M27" s="4" t="s">
        <v>45</v>
      </c>
      <c r="N27" s="4" t="s">
        <v>45</v>
      </c>
      <c r="O27" s="4" t="s">
        <v>45</v>
      </c>
      <c r="P27" s="4" t="s">
        <v>215</v>
      </c>
      <c r="Q27" s="4" t="s">
        <v>45</v>
      </c>
      <c r="R27" s="4" t="s">
        <v>12</v>
      </c>
      <c r="S27" s="4" t="s">
        <v>15</v>
      </c>
      <c r="T27" s="7" t="s">
        <v>216</v>
      </c>
      <c r="V27" s="4" t="s">
        <v>15</v>
      </c>
    </row>
    <row r="28" spans="1:22" ht="59" x14ac:dyDescent="0.75">
      <c r="A28" s="4" t="s">
        <v>217</v>
      </c>
      <c r="B28" s="4">
        <v>1988</v>
      </c>
      <c r="C28" s="4" t="s">
        <v>90</v>
      </c>
      <c r="D28" s="4" t="s">
        <v>129</v>
      </c>
      <c r="E28" s="4" t="s">
        <v>46</v>
      </c>
      <c r="F28" s="4" t="s">
        <v>14</v>
      </c>
      <c r="G28" s="4">
        <v>9498</v>
      </c>
      <c r="H28" s="4" t="s">
        <v>149</v>
      </c>
      <c r="I28" s="4" t="s">
        <v>220</v>
      </c>
      <c r="J28" s="4" t="s">
        <v>210</v>
      </c>
      <c r="K28" s="4" t="s">
        <v>115</v>
      </c>
      <c r="L28" s="4" t="s">
        <v>221</v>
      </c>
      <c r="M28" s="4" t="s">
        <v>45</v>
      </c>
      <c r="N28" s="4" t="s">
        <v>45</v>
      </c>
      <c r="O28" s="4" t="s">
        <v>45</v>
      </c>
      <c r="P28" s="4" t="s">
        <v>46</v>
      </c>
      <c r="Q28" s="4" t="s">
        <v>45</v>
      </c>
      <c r="R28" s="4" t="s">
        <v>12</v>
      </c>
      <c r="S28" s="4" t="s">
        <v>15</v>
      </c>
      <c r="T28" s="7" t="s">
        <v>222</v>
      </c>
      <c r="V28" s="4" t="s">
        <v>15</v>
      </c>
    </row>
    <row r="29" spans="1:22" x14ac:dyDescent="0.75">
      <c r="R29" s="4">
        <f>ROUND(COUNTIF(R2:R28,"Yes")/(27)*100,1)</f>
        <v>18.5</v>
      </c>
      <c r="S29" s="4">
        <f>ROUND(COUNTIF(S2:S28,"No")/(27)*100,1)</f>
        <v>18.5</v>
      </c>
    </row>
    <row r="30" spans="1:22" x14ac:dyDescent="0.75">
      <c r="A30" s="4" t="s">
        <v>223</v>
      </c>
      <c r="C30" s="4" t="str" cm="1">
        <f t="array" ref="C30:C34">_xlfn.UNIQUE(C2:C28)</f>
        <v>Africa</v>
      </c>
      <c r="D30" s="4">
        <f>COUNTIF($C$2:$C$28,C30)</f>
        <v>6</v>
      </c>
      <c r="F30" s="4" t="str" cm="1">
        <f t="array" ref="F30:F32">_xlfn.UNIQUE(F2:F28)</f>
        <v>Field study</v>
      </c>
      <c r="G30" s="4">
        <f>COUNTIF($F$2:$F$28,F30)</f>
        <v>14</v>
      </c>
      <c r="R30" s="4" t="s">
        <v>218</v>
      </c>
      <c r="S30" s="4" t="s">
        <v>219</v>
      </c>
    </row>
    <row r="31" spans="1:22" x14ac:dyDescent="0.75">
      <c r="C31" s="4" t="str">
        <v>Asia</v>
      </c>
      <c r="D31" s="4">
        <f t="shared" ref="D31:D34" si="0">COUNTIF($C$2:$C$28,C31)</f>
        <v>3</v>
      </c>
      <c r="F31" s="4" t="str">
        <v>Remote-sensing</v>
      </c>
      <c r="G31" s="4">
        <f t="shared" ref="G31:G32" si="1">COUNTIF($F$2:$F$28,F31)</f>
        <v>9</v>
      </c>
    </row>
    <row r="32" spans="1:22" x14ac:dyDescent="0.75">
      <c r="C32" s="4" t="str">
        <v>Global</v>
      </c>
      <c r="D32" s="4">
        <f t="shared" si="0"/>
        <v>3</v>
      </c>
      <c r="F32" s="4" t="str">
        <v>modeling</v>
      </c>
      <c r="G32" s="4">
        <f t="shared" si="1"/>
        <v>4</v>
      </c>
    </row>
    <row r="33" spans="3:4" ht="29.5" x14ac:dyDescent="0.75">
      <c r="C33" s="4" t="str">
        <v>North America</v>
      </c>
      <c r="D33" s="4">
        <f t="shared" si="0"/>
        <v>13</v>
      </c>
    </row>
    <row r="34" spans="3:4" x14ac:dyDescent="0.75">
      <c r="C34" s="4" t="str">
        <v>Australia</v>
      </c>
      <c r="D34" s="4">
        <f t="shared" si="0"/>
        <v>2</v>
      </c>
    </row>
  </sheetData>
  <autoFilter ref="A1:U34" xr:uid="{0ADC14F6-6FDF-4B85-B078-59F80837C9F6}"/>
  <conditionalFormatting sqref="R2:R28">
    <cfRule type="cellIs" dxfId="1" priority="1" operator="equal">
      <formula>"Yes"</formula>
    </cfRule>
  </conditionalFormatting>
  <conditionalFormatting sqref="S1:S28 S30:S1048576">
    <cfRule type="cellIs" dxfId="0" priority="3" operator="equal">
      <formula>"No"</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BCF1-AD16-4E3C-870F-2F65C47CAD41}">
  <dimension ref="A1:Q91"/>
  <sheetViews>
    <sheetView tabSelected="1" zoomScale="74" workbookViewId="0">
      <pane ySplit="1" topLeftCell="A2" activePane="bottomLeft" state="frozen"/>
      <selection pane="bottomLeft" activeCell="R6" sqref="R6"/>
    </sheetView>
  </sheetViews>
  <sheetFormatPr defaultRowHeight="14.75" x14ac:dyDescent="0.75"/>
  <cols>
    <col min="1" max="1" width="8.36328125" style="10" customWidth="1"/>
    <col min="2" max="2" width="26.6796875" style="2" customWidth="1"/>
    <col min="3" max="3" width="39.2265625" style="2" customWidth="1"/>
    <col min="4" max="4" width="26.6796875" style="2" customWidth="1"/>
    <col min="5" max="5" width="15.26953125" style="10" customWidth="1"/>
    <col min="6" max="6" width="42.40625" style="7" customWidth="1"/>
    <col min="7" max="7" width="16.76953125" style="4" customWidth="1"/>
    <col min="8" max="8" width="19.5" style="4" customWidth="1"/>
    <col min="9" max="9" width="20.86328125" style="10" customWidth="1"/>
    <col min="10" max="10" width="14.04296875" style="10" customWidth="1"/>
    <col min="11" max="11" width="12.54296875" style="10" customWidth="1"/>
    <col min="12" max="12" width="44.86328125" style="2" customWidth="1"/>
    <col min="13" max="16384" width="8.7265625" style="11"/>
  </cols>
  <sheetData>
    <row r="1" spans="1:17" s="1" customFormat="1" x14ac:dyDescent="0.75">
      <c r="A1" s="3" t="s">
        <v>75</v>
      </c>
      <c r="B1" s="3" t="s">
        <v>226</v>
      </c>
      <c r="C1" s="3" t="s">
        <v>227</v>
      </c>
      <c r="D1" s="3" t="s">
        <v>451</v>
      </c>
      <c r="E1" s="3" t="s">
        <v>10</v>
      </c>
      <c r="F1" s="3" t="s">
        <v>225</v>
      </c>
      <c r="G1" s="3" t="s">
        <v>3</v>
      </c>
      <c r="H1" s="3" t="s">
        <v>2</v>
      </c>
      <c r="I1" s="3" t="s">
        <v>28</v>
      </c>
      <c r="J1" s="3" t="s">
        <v>4</v>
      </c>
      <c r="K1" s="1" t="s">
        <v>448</v>
      </c>
      <c r="L1" s="3" t="s">
        <v>643</v>
      </c>
      <c r="M1" s="9"/>
      <c r="N1" s="9"/>
      <c r="O1" s="9"/>
      <c r="P1" s="9"/>
      <c r="Q1" s="9"/>
    </row>
    <row r="2" spans="1:17" ht="66" customHeight="1" x14ac:dyDescent="0.75">
      <c r="A2" s="10">
        <v>1988</v>
      </c>
      <c r="B2" s="2" t="s">
        <v>228</v>
      </c>
      <c r="C2" s="2" t="s">
        <v>229</v>
      </c>
      <c r="D2" s="2" t="s">
        <v>230</v>
      </c>
      <c r="E2" s="10" t="s">
        <v>90</v>
      </c>
      <c r="F2" s="7" t="s">
        <v>452</v>
      </c>
      <c r="G2" s="4" t="s">
        <v>46</v>
      </c>
      <c r="H2" s="4" t="s">
        <v>458</v>
      </c>
      <c r="I2" s="10" t="s">
        <v>12</v>
      </c>
      <c r="J2" s="10" t="s">
        <v>15</v>
      </c>
      <c r="K2" s="10" t="s">
        <v>15</v>
      </c>
      <c r="L2" s="7" t="s">
        <v>222</v>
      </c>
    </row>
    <row r="3" spans="1:17" ht="70.5" customHeight="1" x14ac:dyDescent="0.75">
      <c r="A3" s="10">
        <v>1989</v>
      </c>
      <c r="B3" s="2" t="s">
        <v>231</v>
      </c>
      <c r="C3" s="2" t="s">
        <v>232</v>
      </c>
      <c r="D3" s="2" t="s">
        <v>233</v>
      </c>
      <c r="E3" s="10" t="s">
        <v>90</v>
      </c>
      <c r="F3" s="7" t="s">
        <v>453</v>
      </c>
      <c r="G3" s="4" t="s">
        <v>46</v>
      </c>
      <c r="H3" s="4" t="s">
        <v>458</v>
      </c>
      <c r="I3" s="10" t="s">
        <v>12</v>
      </c>
      <c r="J3" s="10" t="s">
        <v>15</v>
      </c>
      <c r="K3" s="10" t="s">
        <v>15</v>
      </c>
      <c r="L3" s="2" t="s">
        <v>459</v>
      </c>
    </row>
    <row r="4" spans="1:17" ht="50.25" customHeight="1" x14ac:dyDescent="0.75">
      <c r="A4" s="10">
        <v>1989</v>
      </c>
      <c r="B4" s="2" t="s">
        <v>234</v>
      </c>
      <c r="C4" s="2" t="s">
        <v>235</v>
      </c>
      <c r="D4" s="2" t="s">
        <v>236</v>
      </c>
      <c r="E4" s="10" t="s">
        <v>112</v>
      </c>
      <c r="F4" s="7" t="s">
        <v>461</v>
      </c>
      <c r="G4" s="4" t="s">
        <v>460</v>
      </c>
      <c r="H4" s="4" t="s">
        <v>458</v>
      </c>
      <c r="I4" s="10" t="s">
        <v>12</v>
      </c>
      <c r="J4" s="10" t="s">
        <v>15</v>
      </c>
      <c r="K4" s="10" t="s">
        <v>12</v>
      </c>
      <c r="L4" s="2" t="s">
        <v>462</v>
      </c>
    </row>
    <row r="5" spans="1:17" ht="73.75" x14ac:dyDescent="0.75">
      <c r="A5" s="10">
        <v>1997</v>
      </c>
      <c r="B5" s="2" t="s">
        <v>237</v>
      </c>
      <c r="C5" s="7" t="s">
        <v>463</v>
      </c>
      <c r="D5" s="2" t="s">
        <v>230</v>
      </c>
      <c r="E5" s="10" t="s">
        <v>90</v>
      </c>
      <c r="F5" s="7" t="s">
        <v>665</v>
      </c>
      <c r="G5" s="4" t="s">
        <v>46</v>
      </c>
      <c r="H5" s="4" t="s">
        <v>139</v>
      </c>
      <c r="I5" s="10" t="s">
        <v>12</v>
      </c>
      <c r="J5" s="10" t="s">
        <v>12</v>
      </c>
      <c r="K5" s="10" t="s">
        <v>12</v>
      </c>
      <c r="L5" s="2" t="s">
        <v>666</v>
      </c>
    </row>
    <row r="6" spans="1:17" ht="73.75" x14ac:dyDescent="0.75">
      <c r="A6" s="10">
        <v>1997</v>
      </c>
      <c r="B6" s="2" t="s">
        <v>238</v>
      </c>
      <c r="C6" s="2" t="s">
        <v>239</v>
      </c>
      <c r="D6" s="2" t="s">
        <v>240</v>
      </c>
      <c r="E6" s="10" t="s">
        <v>90</v>
      </c>
      <c r="F6" s="7" t="s">
        <v>476</v>
      </c>
      <c r="G6" s="4" t="s">
        <v>460</v>
      </c>
      <c r="H6" s="4" t="s">
        <v>458</v>
      </c>
      <c r="I6" s="10" t="s">
        <v>12</v>
      </c>
      <c r="J6" s="10" t="s">
        <v>15</v>
      </c>
      <c r="K6" s="10" t="s">
        <v>12</v>
      </c>
      <c r="L6" s="2" t="s">
        <v>477</v>
      </c>
    </row>
    <row r="7" spans="1:17" ht="103.25" x14ac:dyDescent="0.75">
      <c r="A7" s="10">
        <v>1997</v>
      </c>
      <c r="B7" s="2" t="s">
        <v>241</v>
      </c>
      <c r="C7" s="2" t="s">
        <v>478</v>
      </c>
      <c r="D7" s="2" t="s">
        <v>230</v>
      </c>
      <c r="E7" s="10" t="s">
        <v>90</v>
      </c>
      <c r="F7" s="7" t="s">
        <v>479</v>
      </c>
      <c r="G7" s="4" t="s">
        <v>46</v>
      </c>
      <c r="H7" s="4" t="s">
        <v>458</v>
      </c>
      <c r="I7" s="10" t="s">
        <v>12</v>
      </c>
      <c r="J7" s="10" t="s">
        <v>15</v>
      </c>
      <c r="K7" s="10" t="s">
        <v>15</v>
      </c>
      <c r="L7" s="2" t="s">
        <v>480</v>
      </c>
    </row>
    <row r="8" spans="1:17" ht="59" x14ac:dyDescent="0.75">
      <c r="A8" s="10">
        <v>1998</v>
      </c>
      <c r="B8" s="2" t="s">
        <v>242</v>
      </c>
      <c r="C8" s="2" t="s">
        <v>243</v>
      </c>
      <c r="D8" s="2" t="s">
        <v>244</v>
      </c>
      <c r="E8" s="10" t="s">
        <v>90</v>
      </c>
      <c r="F8" s="7" t="s">
        <v>482</v>
      </c>
      <c r="G8" s="4" t="s">
        <v>46</v>
      </c>
      <c r="H8" s="4" t="s">
        <v>458</v>
      </c>
      <c r="I8" s="10" t="s">
        <v>12</v>
      </c>
      <c r="J8" s="10" t="s">
        <v>12</v>
      </c>
      <c r="K8" s="10" t="s">
        <v>15</v>
      </c>
      <c r="L8" s="7" t="s">
        <v>481</v>
      </c>
    </row>
    <row r="9" spans="1:17" ht="73.75" x14ac:dyDescent="0.75">
      <c r="A9" s="10">
        <v>2000</v>
      </c>
      <c r="B9" s="2" t="s">
        <v>245</v>
      </c>
      <c r="C9" s="2" t="s">
        <v>246</v>
      </c>
      <c r="D9" s="2" t="s">
        <v>247</v>
      </c>
      <c r="E9" s="10" t="s">
        <v>90</v>
      </c>
      <c r="F9" s="7" t="s">
        <v>483</v>
      </c>
      <c r="G9" s="4" t="s">
        <v>471</v>
      </c>
      <c r="H9" s="4" t="s">
        <v>139</v>
      </c>
      <c r="I9" s="10" t="s">
        <v>12</v>
      </c>
      <c r="J9" s="10" t="s">
        <v>15</v>
      </c>
      <c r="K9" s="10" t="s">
        <v>12</v>
      </c>
      <c r="L9" s="2" t="s">
        <v>484</v>
      </c>
    </row>
    <row r="10" spans="1:17" ht="91.5" customHeight="1" x14ac:dyDescent="0.75">
      <c r="A10" s="10">
        <v>2001</v>
      </c>
      <c r="B10" s="2" t="s">
        <v>248</v>
      </c>
      <c r="C10" s="2" t="s">
        <v>249</v>
      </c>
      <c r="D10" s="2" t="s">
        <v>250</v>
      </c>
      <c r="E10" s="10" t="s">
        <v>90</v>
      </c>
      <c r="F10" s="7" t="s">
        <v>486</v>
      </c>
      <c r="G10" s="4" t="s">
        <v>485</v>
      </c>
      <c r="H10" s="4" t="s">
        <v>139</v>
      </c>
      <c r="I10" s="10" t="s">
        <v>12</v>
      </c>
      <c r="J10" s="10" t="s">
        <v>15</v>
      </c>
      <c r="K10" s="10" t="s">
        <v>15</v>
      </c>
      <c r="L10" s="2" t="s">
        <v>487</v>
      </c>
    </row>
    <row r="11" spans="1:17" ht="103.25" x14ac:dyDescent="0.75">
      <c r="A11" s="10">
        <v>2001</v>
      </c>
      <c r="B11" s="2" t="s">
        <v>251</v>
      </c>
      <c r="C11" s="2" t="s">
        <v>252</v>
      </c>
      <c r="D11" s="2" t="s">
        <v>253</v>
      </c>
      <c r="E11" s="10" t="s">
        <v>90</v>
      </c>
      <c r="F11" s="7" t="s">
        <v>489</v>
      </c>
      <c r="G11" s="4" t="s">
        <v>194</v>
      </c>
      <c r="H11" s="4" t="s">
        <v>139</v>
      </c>
      <c r="I11" s="10" t="s">
        <v>12</v>
      </c>
      <c r="J11" s="10" t="s">
        <v>15</v>
      </c>
      <c r="K11" s="10" t="s">
        <v>15</v>
      </c>
      <c r="L11" s="2" t="s">
        <v>488</v>
      </c>
    </row>
    <row r="12" spans="1:17" ht="44.25" x14ac:dyDescent="0.75">
      <c r="A12" s="10">
        <v>2003</v>
      </c>
      <c r="B12" s="2" t="s">
        <v>254</v>
      </c>
      <c r="C12" s="2" t="s">
        <v>255</v>
      </c>
      <c r="D12" s="2" t="s">
        <v>537</v>
      </c>
      <c r="E12" s="10" t="s">
        <v>26</v>
      </c>
      <c r="F12" s="7" t="s">
        <v>491</v>
      </c>
      <c r="G12" s="4" t="s">
        <v>460</v>
      </c>
      <c r="H12" s="4" t="s">
        <v>458</v>
      </c>
      <c r="I12" s="10" t="s">
        <v>12</v>
      </c>
      <c r="J12" s="10" t="s">
        <v>15</v>
      </c>
      <c r="K12" s="10" t="s">
        <v>12</v>
      </c>
      <c r="L12" s="2" t="s">
        <v>490</v>
      </c>
    </row>
    <row r="13" spans="1:17" ht="118" x14ac:dyDescent="0.75">
      <c r="A13" s="10">
        <v>2005</v>
      </c>
      <c r="B13" s="2" t="s">
        <v>256</v>
      </c>
      <c r="C13" s="2" t="s">
        <v>257</v>
      </c>
      <c r="D13" s="2" t="s">
        <v>233</v>
      </c>
      <c r="E13" s="10" t="s">
        <v>90</v>
      </c>
      <c r="F13" s="7" t="s">
        <v>493</v>
      </c>
      <c r="G13" s="4" t="s">
        <v>183</v>
      </c>
      <c r="H13" s="4" t="s">
        <v>458</v>
      </c>
      <c r="I13" s="10" t="s">
        <v>12</v>
      </c>
      <c r="J13" s="10" t="s">
        <v>15</v>
      </c>
      <c r="K13" s="10" t="s">
        <v>15</v>
      </c>
      <c r="L13" s="2" t="s">
        <v>492</v>
      </c>
    </row>
    <row r="14" spans="1:17" ht="44.25" x14ac:dyDescent="0.75">
      <c r="A14" s="10">
        <v>2006</v>
      </c>
      <c r="B14" s="2" t="s">
        <v>258</v>
      </c>
      <c r="C14" s="2" t="s">
        <v>259</v>
      </c>
      <c r="D14" s="2" t="s">
        <v>260</v>
      </c>
      <c r="E14" s="10" t="s">
        <v>90</v>
      </c>
      <c r="F14" s="7" t="s">
        <v>495</v>
      </c>
      <c r="G14" s="4" t="s">
        <v>494</v>
      </c>
      <c r="H14" s="4" t="s">
        <v>496</v>
      </c>
      <c r="I14" s="10" t="s">
        <v>12</v>
      </c>
      <c r="J14" s="10" t="s">
        <v>12</v>
      </c>
      <c r="K14" s="10" t="s">
        <v>12</v>
      </c>
      <c r="L14" s="2" t="s">
        <v>497</v>
      </c>
    </row>
    <row r="15" spans="1:17" ht="59" x14ac:dyDescent="0.75">
      <c r="A15" s="10">
        <v>2006</v>
      </c>
      <c r="B15" s="2" t="s">
        <v>261</v>
      </c>
      <c r="C15" s="2" t="s">
        <v>262</v>
      </c>
      <c r="D15" s="2" t="s">
        <v>263</v>
      </c>
      <c r="E15" s="10" t="s">
        <v>90</v>
      </c>
      <c r="F15" s="7" t="s">
        <v>498</v>
      </c>
      <c r="G15" s="4" t="s">
        <v>499</v>
      </c>
      <c r="H15" s="4" t="s">
        <v>458</v>
      </c>
      <c r="I15" s="10" t="s">
        <v>12</v>
      </c>
      <c r="J15" s="10" t="s">
        <v>15</v>
      </c>
      <c r="K15" s="10" t="s">
        <v>15</v>
      </c>
      <c r="L15" s="2" t="s">
        <v>500</v>
      </c>
    </row>
    <row r="16" spans="1:17" ht="59" x14ac:dyDescent="0.75">
      <c r="A16" s="10">
        <v>2006</v>
      </c>
      <c r="B16" s="2" t="s">
        <v>264</v>
      </c>
      <c r="C16" s="2" t="s">
        <v>265</v>
      </c>
      <c r="D16" s="2" t="s">
        <v>266</v>
      </c>
      <c r="E16" s="10" t="s">
        <v>90</v>
      </c>
      <c r="F16" s="7" t="s">
        <v>502</v>
      </c>
      <c r="G16" s="4" t="s">
        <v>501</v>
      </c>
      <c r="H16" s="4" t="s">
        <v>458</v>
      </c>
      <c r="I16" s="10" t="s">
        <v>12</v>
      </c>
      <c r="J16" s="10" t="s">
        <v>73</v>
      </c>
      <c r="K16" s="10" t="s">
        <v>12</v>
      </c>
      <c r="L16" s="2" t="s">
        <v>503</v>
      </c>
    </row>
    <row r="17" spans="1:12" ht="59" x14ac:dyDescent="0.75">
      <c r="A17" s="10">
        <v>2007</v>
      </c>
      <c r="B17" s="2" t="s">
        <v>267</v>
      </c>
      <c r="C17" s="2" t="s">
        <v>268</v>
      </c>
      <c r="D17" s="2" t="s">
        <v>506</v>
      </c>
      <c r="E17" s="10" t="s">
        <v>26</v>
      </c>
      <c r="F17" s="7" t="s">
        <v>504</v>
      </c>
      <c r="G17" s="4" t="s">
        <v>105</v>
      </c>
      <c r="H17" s="4" t="s">
        <v>458</v>
      </c>
      <c r="I17" s="10" t="s">
        <v>12</v>
      </c>
      <c r="J17" s="10" t="s">
        <v>12</v>
      </c>
      <c r="K17" s="10" t="s">
        <v>15</v>
      </c>
      <c r="L17" s="2" t="s">
        <v>505</v>
      </c>
    </row>
    <row r="18" spans="1:12" ht="59" x14ac:dyDescent="0.75">
      <c r="A18" s="10">
        <v>2007</v>
      </c>
      <c r="B18" s="2" t="s">
        <v>269</v>
      </c>
      <c r="C18" s="2" t="s">
        <v>270</v>
      </c>
      <c r="D18" s="2" t="s">
        <v>271</v>
      </c>
      <c r="E18" s="10" t="s">
        <v>11</v>
      </c>
      <c r="F18" s="7" t="s">
        <v>507</v>
      </c>
      <c r="G18" s="4" t="s">
        <v>78</v>
      </c>
      <c r="H18" s="4" t="s">
        <v>496</v>
      </c>
      <c r="I18" s="10" t="s">
        <v>15</v>
      </c>
      <c r="J18" s="10" t="s">
        <v>12</v>
      </c>
      <c r="K18" s="10" t="s">
        <v>15</v>
      </c>
      <c r="L18" s="7" t="s">
        <v>172</v>
      </c>
    </row>
    <row r="19" spans="1:12" ht="44.25" x14ac:dyDescent="0.75">
      <c r="A19" s="10">
        <v>2008</v>
      </c>
      <c r="B19" s="2" t="s">
        <v>272</v>
      </c>
      <c r="C19" s="2" t="s">
        <v>273</v>
      </c>
      <c r="D19" s="2" t="s">
        <v>260</v>
      </c>
      <c r="E19" s="10" t="s">
        <v>90</v>
      </c>
      <c r="F19" s="7" t="s">
        <v>508</v>
      </c>
      <c r="G19" s="4" t="s">
        <v>471</v>
      </c>
      <c r="H19" s="4" t="s">
        <v>458</v>
      </c>
      <c r="I19" s="10" t="s">
        <v>12</v>
      </c>
      <c r="J19" s="10" t="s">
        <v>15</v>
      </c>
      <c r="K19" s="10" t="s">
        <v>12</v>
      </c>
      <c r="L19" s="2" t="s">
        <v>509</v>
      </c>
    </row>
    <row r="20" spans="1:12" ht="44.25" x14ac:dyDescent="0.75">
      <c r="A20" s="10">
        <v>2008</v>
      </c>
      <c r="B20" s="2" t="s">
        <v>274</v>
      </c>
      <c r="C20" s="2" t="s">
        <v>275</v>
      </c>
      <c r="D20" s="2" t="s">
        <v>506</v>
      </c>
      <c r="E20" s="10" t="s">
        <v>11</v>
      </c>
      <c r="F20" s="7" t="s">
        <v>511</v>
      </c>
      <c r="G20" s="4" t="s">
        <v>510</v>
      </c>
      <c r="H20" s="4" t="s">
        <v>458</v>
      </c>
      <c r="I20" s="10" t="s">
        <v>12</v>
      </c>
      <c r="J20" s="10" t="s">
        <v>15</v>
      </c>
      <c r="K20" s="10" t="s">
        <v>15</v>
      </c>
      <c r="L20" s="7" t="s">
        <v>161</v>
      </c>
    </row>
    <row r="21" spans="1:12" ht="59" x14ac:dyDescent="0.75">
      <c r="A21" s="10">
        <v>2008</v>
      </c>
      <c r="B21" s="2" t="s">
        <v>276</v>
      </c>
      <c r="C21" s="2" t="s">
        <v>277</v>
      </c>
      <c r="D21" s="2" t="s">
        <v>278</v>
      </c>
      <c r="E21" s="10" t="s">
        <v>90</v>
      </c>
      <c r="F21" s="7" t="s">
        <v>512</v>
      </c>
      <c r="G21" s="4" t="s">
        <v>46</v>
      </c>
      <c r="H21" s="4" t="s">
        <v>458</v>
      </c>
      <c r="I21" s="10" t="s">
        <v>12</v>
      </c>
      <c r="J21" s="10" t="s">
        <v>15</v>
      </c>
      <c r="K21" s="10" t="s">
        <v>15</v>
      </c>
      <c r="L21" s="7" t="s">
        <v>166</v>
      </c>
    </row>
    <row r="22" spans="1:12" ht="59" x14ac:dyDescent="0.75">
      <c r="A22" s="10">
        <v>2008</v>
      </c>
      <c r="B22" s="2" t="s">
        <v>279</v>
      </c>
      <c r="C22" s="2" t="s">
        <v>280</v>
      </c>
      <c r="D22" s="2" t="s">
        <v>281</v>
      </c>
      <c r="E22" s="10" t="s">
        <v>90</v>
      </c>
      <c r="F22" s="7" t="s">
        <v>513</v>
      </c>
      <c r="G22" s="4" t="s">
        <v>46</v>
      </c>
      <c r="H22" s="4" t="s">
        <v>139</v>
      </c>
      <c r="I22" s="10" t="s">
        <v>12</v>
      </c>
      <c r="J22" s="10" t="s">
        <v>15</v>
      </c>
      <c r="K22" s="10" t="s">
        <v>15</v>
      </c>
      <c r="L22" s="2" t="s">
        <v>449</v>
      </c>
    </row>
    <row r="23" spans="1:12" ht="44.25" x14ac:dyDescent="0.75">
      <c r="A23" s="10">
        <v>2009</v>
      </c>
      <c r="B23" s="2" t="s">
        <v>282</v>
      </c>
      <c r="C23" s="2" t="s">
        <v>283</v>
      </c>
      <c r="D23" s="2" t="s">
        <v>284</v>
      </c>
      <c r="E23" s="10" t="s">
        <v>90</v>
      </c>
      <c r="F23" s="7" t="s">
        <v>514</v>
      </c>
      <c r="G23" s="4" t="s">
        <v>46</v>
      </c>
      <c r="H23" s="4" t="s">
        <v>496</v>
      </c>
      <c r="I23" s="10" t="s">
        <v>12</v>
      </c>
      <c r="J23" s="10" t="s">
        <v>15</v>
      </c>
      <c r="K23" s="10" t="s">
        <v>15</v>
      </c>
      <c r="L23" s="7" t="s">
        <v>150</v>
      </c>
    </row>
    <row r="24" spans="1:12" ht="59" x14ac:dyDescent="0.75">
      <c r="A24" s="10">
        <v>2009</v>
      </c>
      <c r="B24" s="2" t="s">
        <v>285</v>
      </c>
      <c r="C24" s="2" t="s">
        <v>286</v>
      </c>
      <c r="D24" s="2" t="s">
        <v>250</v>
      </c>
      <c r="E24" s="10" t="s">
        <v>11</v>
      </c>
      <c r="F24" s="7" t="s">
        <v>516</v>
      </c>
      <c r="G24" s="4" t="s">
        <v>78</v>
      </c>
      <c r="H24" s="4" t="s">
        <v>139</v>
      </c>
      <c r="I24" s="10" t="s">
        <v>12</v>
      </c>
      <c r="J24" s="10" t="s">
        <v>73</v>
      </c>
      <c r="K24" s="10" t="s">
        <v>15</v>
      </c>
      <c r="L24" s="2" t="s">
        <v>515</v>
      </c>
    </row>
    <row r="25" spans="1:12" ht="73.75" x14ac:dyDescent="0.75">
      <c r="A25" s="10">
        <v>2009</v>
      </c>
      <c r="B25" s="2" t="s">
        <v>287</v>
      </c>
      <c r="C25" s="2" t="s">
        <v>288</v>
      </c>
      <c r="D25" s="2" t="s">
        <v>284</v>
      </c>
      <c r="E25" s="10" t="s">
        <v>26</v>
      </c>
      <c r="F25" s="7" t="s">
        <v>518</v>
      </c>
      <c r="G25" s="4" t="s">
        <v>471</v>
      </c>
      <c r="H25" s="4" t="s">
        <v>496</v>
      </c>
      <c r="I25" s="10" t="s">
        <v>12</v>
      </c>
      <c r="J25" s="10" t="s">
        <v>15</v>
      </c>
      <c r="K25" s="10" t="s">
        <v>15</v>
      </c>
      <c r="L25" s="7" t="s">
        <v>517</v>
      </c>
    </row>
    <row r="26" spans="1:12" ht="59" x14ac:dyDescent="0.75">
      <c r="A26" s="10">
        <v>2010</v>
      </c>
      <c r="B26" s="2" t="s">
        <v>289</v>
      </c>
      <c r="C26" s="2" t="s">
        <v>290</v>
      </c>
      <c r="D26" s="2" t="s">
        <v>291</v>
      </c>
      <c r="E26" s="10" t="s">
        <v>112</v>
      </c>
      <c r="F26" s="7" t="s">
        <v>519</v>
      </c>
      <c r="G26" s="4" t="s">
        <v>46</v>
      </c>
      <c r="H26" s="4" t="s">
        <v>458</v>
      </c>
      <c r="I26" s="10" t="s">
        <v>12</v>
      </c>
      <c r="J26" s="10" t="s">
        <v>73</v>
      </c>
      <c r="K26" s="10" t="s">
        <v>15</v>
      </c>
      <c r="L26" s="2" t="s">
        <v>520</v>
      </c>
    </row>
    <row r="27" spans="1:12" ht="59" x14ac:dyDescent="0.75">
      <c r="A27" s="10">
        <v>2010</v>
      </c>
      <c r="B27" s="2" t="s">
        <v>292</v>
      </c>
      <c r="C27" s="2" t="s">
        <v>294</v>
      </c>
      <c r="D27" s="2" t="s">
        <v>293</v>
      </c>
      <c r="E27" s="10" t="s">
        <v>90</v>
      </c>
      <c r="F27" s="7" t="s">
        <v>521</v>
      </c>
      <c r="G27" s="4" t="s">
        <v>471</v>
      </c>
      <c r="H27" s="4" t="s">
        <v>139</v>
      </c>
      <c r="I27" s="10" t="s">
        <v>12</v>
      </c>
      <c r="J27" s="10" t="s">
        <v>15</v>
      </c>
      <c r="K27" s="10" t="s">
        <v>15</v>
      </c>
      <c r="L27" s="2" t="s">
        <v>522</v>
      </c>
    </row>
    <row r="28" spans="1:12" ht="44.25" x14ac:dyDescent="0.75">
      <c r="A28" s="10">
        <v>2010</v>
      </c>
      <c r="B28" s="2" t="s">
        <v>295</v>
      </c>
      <c r="C28" s="2" t="s">
        <v>296</v>
      </c>
      <c r="D28" s="2" t="s">
        <v>297</v>
      </c>
      <c r="E28" s="10" t="s">
        <v>90</v>
      </c>
      <c r="F28" s="7" t="s">
        <v>524</v>
      </c>
      <c r="G28" s="4" t="s">
        <v>510</v>
      </c>
      <c r="H28" s="4" t="s">
        <v>139</v>
      </c>
      <c r="I28" s="10" t="s">
        <v>12</v>
      </c>
      <c r="J28" s="10" t="s">
        <v>15</v>
      </c>
      <c r="K28" s="10" t="s">
        <v>12</v>
      </c>
      <c r="L28" s="2" t="s">
        <v>523</v>
      </c>
    </row>
    <row r="29" spans="1:12" ht="73.75" x14ac:dyDescent="0.75">
      <c r="A29" s="10">
        <v>2010</v>
      </c>
      <c r="B29" s="2" t="s">
        <v>298</v>
      </c>
      <c r="C29" s="2" t="s">
        <v>299</v>
      </c>
      <c r="D29" s="2" t="s">
        <v>300</v>
      </c>
      <c r="E29" s="10" t="s">
        <v>90</v>
      </c>
      <c r="F29" s="7" t="s">
        <v>526</v>
      </c>
      <c r="G29" s="4" t="s">
        <v>79</v>
      </c>
      <c r="H29" s="4" t="s">
        <v>458</v>
      </c>
      <c r="I29" s="10" t="s">
        <v>15</v>
      </c>
      <c r="J29" s="10" t="s">
        <v>15</v>
      </c>
      <c r="K29" s="10" t="s">
        <v>12</v>
      </c>
      <c r="L29" s="2" t="s">
        <v>525</v>
      </c>
    </row>
    <row r="30" spans="1:12" ht="44.25" x14ac:dyDescent="0.75">
      <c r="A30" s="10">
        <v>2012</v>
      </c>
      <c r="B30" s="2" t="s">
        <v>301</v>
      </c>
      <c r="C30" s="2" t="s">
        <v>302</v>
      </c>
      <c r="D30" s="2" t="s">
        <v>284</v>
      </c>
      <c r="E30" s="10" t="s">
        <v>90</v>
      </c>
      <c r="F30" s="7" t="s">
        <v>527</v>
      </c>
      <c r="G30" s="4" t="s">
        <v>78</v>
      </c>
      <c r="H30" s="4" t="s">
        <v>458</v>
      </c>
      <c r="I30" s="10" t="s">
        <v>12</v>
      </c>
      <c r="J30" s="10" t="s">
        <v>15</v>
      </c>
      <c r="K30" s="10" t="s">
        <v>12</v>
      </c>
      <c r="L30" s="2" t="s">
        <v>528</v>
      </c>
    </row>
    <row r="31" spans="1:12" ht="73.75" x14ac:dyDescent="0.75">
      <c r="A31" s="10">
        <v>2012</v>
      </c>
      <c r="B31" s="2" t="s">
        <v>303</v>
      </c>
      <c r="C31" s="2" t="s">
        <v>304</v>
      </c>
      <c r="D31" s="2" t="s">
        <v>284</v>
      </c>
      <c r="E31" s="10" t="s">
        <v>454</v>
      </c>
      <c r="F31" s="7" t="s">
        <v>530</v>
      </c>
      <c r="G31" s="4" t="s">
        <v>46</v>
      </c>
      <c r="H31" s="4" t="s">
        <v>496</v>
      </c>
      <c r="I31" s="10" t="s">
        <v>12</v>
      </c>
      <c r="J31" s="10" t="s">
        <v>73</v>
      </c>
      <c r="K31" s="10" t="s">
        <v>12</v>
      </c>
      <c r="L31" s="2" t="s">
        <v>529</v>
      </c>
    </row>
    <row r="32" spans="1:12" ht="29.5" x14ac:dyDescent="0.75">
      <c r="A32" s="10">
        <v>2012</v>
      </c>
      <c r="B32" s="2" t="s">
        <v>305</v>
      </c>
      <c r="C32" s="2" t="s">
        <v>306</v>
      </c>
      <c r="D32" s="2" t="s">
        <v>297</v>
      </c>
      <c r="E32" s="10" t="s">
        <v>112</v>
      </c>
      <c r="F32" s="7" t="s">
        <v>532</v>
      </c>
      <c r="G32" s="4" t="s">
        <v>78</v>
      </c>
      <c r="H32" s="4" t="s">
        <v>458</v>
      </c>
      <c r="I32" s="10" t="s">
        <v>12</v>
      </c>
      <c r="J32" s="10" t="s">
        <v>15</v>
      </c>
      <c r="K32" s="10" t="s">
        <v>12</v>
      </c>
      <c r="L32" s="2" t="s">
        <v>531</v>
      </c>
    </row>
    <row r="33" spans="1:12" ht="73.75" x14ac:dyDescent="0.75">
      <c r="A33" s="10">
        <v>2012</v>
      </c>
      <c r="B33" s="2" t="s">
        <v>307</v>
      </c>
      <c r="C33" s="2" t="s">
        <v>308</v>
      </c>
      <c r="D33" s="2" t="s">
        <v>266</v>
      </c>
      <c r="E33" s="10" t="s">
        <v>90</v>
      </c>
      <c r="F33" s="7" t="s">
        <v>224</v>
      </c>
      <c r="G33" s="4" t="s">
        <v>78</v>
      </c>
      <c r="H33" s="4" t="s">
        <v>458</v>
      </c>
      <c r="I33" s="4" t="s">
        <v>12</v>
      </c>
      <c r="J33" s="10" t="s">
        <v>73</v>
      </c>
      <c r="K33" s="10" t="s">
        <v>12</v>
      </c>
      <c r="L33" s="7" t="s">
        <v>533</v>
      </c>
    </row>
    <row r="34" spans="1:12" ht="73.75" x14ac:dyDescent="0.75">
      <c r="A34" s="10">
        <v>2012</v>
      </c>
      <c r="B34" s="2" t="s">
        <v>309</v>
      </c>
      <c r="C34" s="2" t="s">
        <v>310</v>
      </c>
      <c r="D34" s="2" t="s">
        <v>244</v>
      </c>
      <c r="E34" s="10" t="s">
        <v>41</v>
      </c>
      <c r="F34" s="7" t="s">
        <v>535</v>
      </c>
      <c r="G34" s="4" t="s">
        <v>46</v>
      </c>
      <c r="H34" s="4" t="s">
        <v>534</v>
      </c>
      <c r="I34" s="10" t="s">
        <v>12</v>
      </c>
      <c r="J34" s="10" t="s">
        <v>73</v>
      </c>
      <c r="K34" s="10" t="s">
        <v>12</v>
      </c>
      <c r="L34" s="2" t="s">
        <v>536</v>
      </c>
    </row>
    <row r="35" spans="1:12" ht="44.25" x14ac:dyDescent="0.75">
      <c r="A35" s="10">
        <v>2012</v>
      </c>
      <c r="B35" s="2" t="s">
        <v>311</v>
      </c>
      <c r="C35" s="2" t="s">
        <v>312</v>
      </c>
      <c r="D35" s="2" t="s">
        <v>250</v>
      </c>
      <c r="E35" s="10" t="s">
        <v>90</v>
      </c>
      <c r="F35" s="7" t="s">
        <v>541</v>
      </c>
      <c r="G35" s="4" t="s">
        <v>105</v>
      </c>
      <c r="H35" s="4" t="s">
        <v>139</v>
      </c>
      <c r="I35" s="10" t="s">
        <v>12</v>
      </c>
      <c r="J35" s="10" t="s">
        <v>15</v>
      </c>
      <c r="K35" s="10" t="s">
        <v>12</v>
      </c>
      <c r="L35" s="2" t="s">
        <v>542</v>
      </c>
    </row>
    <row r="36" spans="1:12" ht="73.75" x14ac:dyDescent="0.75">
      <c r="A36" s="10">
        <v>2013</v>
      </c>
      <c r="B36" s="2" t="s">
        <v>313</v>
      </c>
      <c r="C36" s="2" t="s">
        <v>314</v>
      </c>
      <c r="D36" s="2" t="s">
        <v>260</v>
      </c>
      <c r="E36" s="10" t="s">
        <v>90</v>
      </c>
      <c r="F36" s="7" t="s">
        <v>546</v>
      </c>
      <c r="G36" s="4" t="s">
        <v>547</v>
      </c>
      <c r="H36" s="4" t="s">
        <v>458</v>
      </c>
      <c r="I36" s="10" t="s">
        <v>12</v>
      </c>
      <c r="J36" s="10" t="s">
        <v>73</v>
      </c>
      <c r="K36" s="10" t="s">
        <v>12</v>
      </c>
      <c r="L36" s="2" t="s">
        <v>450</v>
      </c>
    </row>
    <row r="37" spans="1:12" ht="73.75" x14ac:dyDescent="0.75">
      <c r="A37" s="10">
        <v>2013</v>
      </c>
      <c r="B37" s="2" t="s">
        <v>315</v>
      </c>
      <c r="C37" s="2" t="s">
        <v>316</v>
      </c>
      <c r="D37" s="2" t="s">
        <v>317</v>
      </c>
      <c r="E37" s="10" t="s">
        <v>112</v>
      </c>
      <c r="F37" s="7" t="s">
        <v>545</v>
      </c>
      <c r="G37" s="4" t="s">
        <v>460</v>
      </c>
      <c r="H37" s="4" t="s">
        <v>458</v>
      </c>
      <c r="I37" s="10" t="s">
        <v>15</v>
      </c>
      <c r="J37" s="10" t="s">
        <v>15</v>
      </c>
      <c r="K37" s="10" t="s">
        <v>15</v>
      </c>
      <c r="L37" s="2" t="s">
        <v>544</v>
      </c>
    </row>
    <row r="38" spans="1:12" ht="44.25" x14ac:dyDescent="0.75">
      <c r="A38" s="10">
        <v>2013</v>
      </c>
      <c r="B38" s="2" t="s">
        <v>318</v>
      </c>
      <c r="C38" s="2" t="s">
        <v>319</v>
      </c>
      <c r="D38" s="2" t="s">
        <v>548</v>
      </c>
      <c r="E38" s="10" t="s">
        <v>112</v>
      </c>
      <c r="F38" s="7" t="s">
        <v>549</v>
      </c>
      <c r="G38" s="4" t="s">
        <v>551</v>
      </c>
      <c r="H38" s="4" t="s">
        <v>458</v>
      </c>
      <c r="I38" s="10" t="s">
        <v>12</v>
      </c>
      <c r="J38" s="10" t="s">
        <v>12</v>
      </c>
      <c r="K38" s="10" t="s">
        <v>12</v>
      </c>
      <c r="L38" s="2" t="s">
        <v>550</v>
      </c>
    </row>
    <row r="39" spans="1:12" ht="44.25" x14ac:dyDescent="0.75">
      <c r="A39" s="10">
        <v>2013</v>
      </c>
      <c r="B39" s="2" t="s">
        <v>320</v>
      </c>
      <c r="C39" s="2" t="s">
        <v>321</v>
      </c>
      <c r="D39" s="2" t="s">
        <v>317</v>
      </c>
      <c r="E39" s="10" t="s">
        <v>112</v>
      </c>
      <c r="F39" s="7" t="s">
        <v>468</v>
      </c>
      <c r="G39" s="4" t="s">
        <v>469</v>
      </c>
      <c r="H39" s="4" t="s">
        <v>458</v>
      </c>
      <c r="I39" s="10" t="s">
        <v>12</v>
      </c>
      <c r="J39" s="10" t="s">
        <v>12</v>
      </c>
      <c r="K39" s="10" t="s">
        <v>12</v>
      </c>
      <c r="L39" s="2" t="s">
        <v>470</v>
      </c>
    </row>
    <row r="40" spans="1:12" ht="44.25" x14ac:dyDescent="0.75">
      <c r="A40" s="10">
        <v>2014</v>
      </c>
      <c r="B40" s="2" t="s">
        <v>322</v>
      </c>
      <c r="C40" s="2" t="s">
        <v>323</v>
      </c>
      <c r="D40" s="2" t="s">
        <v>324</v>
      </c>
      <c r="E40" s="10" t="s">
        <v>11</v>
      </c>
      <c r="F40" s="7" t="s">
        <v>552</v>
      </c>
      <c r="G40" s="4" t="s">
        <v>46</v>
      </c>
      <c r="H40" s="4" t="s">
        <v>458</v>
      </c>
      <c r="I40" s="10" t="s">
        <v>12</v>
      </c>
      <c r="J40" s="10" t="s">
        <v>15</v>
      </c>
      <c r="K40" s="10" t="s">
        <v>12</v>
      </c>
      <c r="L40" s="2" t="s">
        <v>553</v>
      </c>
    </row>
    <row r="41" spans="1:12" ht="73.75" x14ac:dyDescent="0.75">
      <c r="A41" s="10">
        <v>2014</v>
      </c>
      <c r="B41" s="2" t="s">
        <v>325</v>
      </c>
      <c r="C41" s="2" t="s">
        <v>326</v>
      </c>
      <c r="D41" s="2" t="s">
        <v>233</v>
      </c>
      <c r="E41" s="10" t="s">
        <v>90</v>
      </c>
      <c r="F41" s="7" t="s">
        <v>554</v>
      </c>
      <c r="G41" s="4" t="s">
        <v>471</v>
      </c>
      <c r="H41" s="4" t="s">
        <v>458</v>
      </c>
      <c r="I41" s="10" t="s">
        <v>12</v>
      </c>
      <c r="J41" s="10" t="s">
        <v>15</v>
      </c>
      <c r="K41" s="10" t="s">
        <v>12</v>
      </c>
      <c r="L41" s="2" t="s">
        <v>555</v>
      </c>
    </row>
    <row r="42" spans="1:12" ht="44.25" x14ac:dyDescent="0.75">
      <c r="A42" s="10">
        <v>2015</v>
      </c>
      <c r="B42" s="2" t="s">
        <v>327</v>
      </c>
      <c r="C42" s="2" t="s">
        <v>328</v>
      </c>
      <c r="D42" s="2" t="s">
        <v>329</v>
      </c>
      <c r="E42" s="10" t="s">
        <v>90</v>
      </c>
      <c r="F42" s="7" t="s">
        <v>557</v>
      </c>
      <c r="G42" s="4" t="s">
        <v>556</v>
      </c>
      <c r="H42" s="4" t="s">
        <v>458</v>
      </c>
      <c r="I42" s="10" t="s">
        <v>12</v>
      </c>
      <c r="J42" s="10" t="s">
        <v>73</v>
      </c>
      <c r="K42" s="10" t="s">
        <v>12</v>
      </c>
      <c r="L42" s="2" t="s">
        <v>567</v>
      </c>
    </row>
    <row r="43" spans="1:12" ht="59" x14ac:dyDescent="0.75">
      <c r="A43" s="10">
        <v>2015</v>
      </c>
      <c r="B43" s="2" t="s">
        <v>330</v>
      </c>
      <c r="C43" s="2" t="s">
        <v>331</v>
      </c>
      <c r="D43" s="2" t="s">
        <v>271</v>
      </c>
      <c r="E43" s="10" t="s">
        <v>112</v>
      </c>
      <c r="F43" s="7" t="s">
        <v>559</v>
      </c>
      <c r="G43" s="4" t="s">
        <v>78</v>
      </c>
      <c r="H43" s="4" t="s">
        <v>558</v>
      </c>
      <c r="I43" s="10" t="s">
        <v>15</v>
      </c>
      <c r="J43" s="10" t="s">
        <v>15</v>
      </c>
      <c r="K43" s="10" t="s">
        <v>15</v>
      </c>
      <c r="L43" s="2" t="s">
        <v>560</v>
      </c>
    </row>
    <row r="44" spans="1:12" ht="44.25" x14ac:dyDescent="0.75">
      <c r="A44" s="10">
        <v>2015</v>
      </c>
      <c r="B44" s="2" t="s">
        <v>332</v>
      </c>
      <c r="C44" s="2" t="s">
        <v>333</v>
      </c>
      <c r="D44" s="2" t="s">
        <v>233</v>
      </c>
      <c r="E44" s="10" t="s">
        <v>90</v>
      </c>
      <c r="F44" s="7" t="s">
        <v>562</v>
      </c>
      <c r="G44" s="4" t="s">
        <v>105</v>
      </c>
      <c r="H44" s="4" t="s">
        <v>458</v>
      </c>
      <c r="I44" s="10" t="s">
        <v>12</v>
      </c>
      <c r="J44" s="10" t="s">
        <v>73</v>
      </c>
      <c r="K44" s="10" t="s">
        <v>15</v>
      </c>
      <c r="L44" s="7" t="s">
        <v>561</v>
      </c>
    </row>
    <row r="45" spans="1:12" ht="73.75" x14ac:dyDescent="0.75">
      <c r="A45" s="10">
        <v>2015</v>
      </c>
      <c r="B45" s="2" t="s">
        <v>334</v>
      </c>
      <c r="C45" s="2" t="s">
        <v>335</v>
      </c>
      <c r="D45" s="2" t="s">
        <v>336</v>
      </c>
      <c r="E45" s="10" t="s">
        <v>90</v>
      </c>
      <c r="F45" s="7" t="s">
        <v>563</v>
      </c>
      <c r="G45" s="4" t="s">
        <v>46</v>
      </c>
      <c r="H45" s="4" t="s">
        <v>139</v>
      </c>
      <c r="I45" s="10" t="s">
        <v>12</v>
      </c>
      <c r="J45" s="10" t="s">
        <v>15</v>
      </c>
      <c r="K45" s="10" t="s">
        <v>12</v>
      </c>
      <c r="L45" s="2" t="s">
        <v>564</v>
      </c>
    </row>
    <row r="46" spans="1:12" ht="73.75" x14ac:dyDescent="0.75">
      <c r="A46" s="10">
        <v>2015</v>
      </c>
      <c r="B46" s="2" t="s">
        <v>337</v>
      </c>
      <c r="C46" s="2" t="s">
        <v>338</v>
      </c>
      <c r="D46" s="2" t="s">
        <v>339</v>
      </c>
      <c r="E46" s="10" t="s">
        <v>90</v>
      </c>
      <c r="F46" s="7" t="s">
        <v>565</v>
      </c>
      <c r="G46" s="4" t="s">
        <v>46</v>
      </c>
      <c r="H46" s="4" t="s">
        <v>496</v>
      </c>
      <c r="I46" s="10" t="s">
        <v>12</v>
      </c>
      <c r="J46" s="10" t="s">
        <v>15</v>
      </c>
      <c r="K46" s="10" t="s">
        <v>12</v>
      </c>
      <c r="L46" s="2" t="s">
        <v>566</v>
      </c>
    </row>
    <row r="47" spans="1:12" ht="88.5" x14ac:dyDescent="0.75">
      <c r="A47" s="10">
        <v>2015</v>
      </c>
      <c r="B47" s="2" t="s">
        <v>340</v>
      </c>
      <c r="C47" s="2" t="s">
        <v>341</v>
      </c>
      <c r="D47" s="2" t="s">
        <v>342</v>
      </c>
      <c r="E47" s="10" t="s">
        <v>90</v>
      </c>
      <c r="F47" s="7" t="s">
        <v>568</v>
      </c>
      <c r="G47" s="4" t="s">
        <v>46</v>
      </c>
      <c r="H47" s="4" t="s">
        <v>139</v>
      </c>
      <c r="I47" s="10" t="s">
        <v>12</v>
      </c>
      <c r="J47" s="10" t="s">
        <v>15</v>
      </c>
      <c r="K47" s="10" t="s">
        <v>12</v>
      </c>
      <c r="L47" s="2" t="s">
        <v>569</v>
      </c>
    </row>
    <row r="48" spans="1:12" ht="59" x14ac:dyDescent="0.75">
      <c r="A48" s="10">
        <v>2016</v>
      </c>
      <c r="B48" s="2" t="s">
        <v>343</v>
      </c>
      <c r="C48" s="2" t="s">
        <v>344</v>
      </c>
      <c r="D48" s="2" t="s">
        <v>345</v>
      </c>
      <c r="E48" s="10" t="s">
        <v>90</v>
      </c>
      <c r="F48" s="7" t="s">
        <v>570</v>
      </c>
      <c r="G48" s="4" t="s">
        <v>46</v>
      </c>
      <c r="H48" s="4" t="s">
        <v>458</v>
      </c>
      <c r="I48" s="10" t="s">
        <v>15</v>
      </c>
      <c r="J48" s="10" t="s">
        <v>15</v>
      </c>
      <c r="K48" s="10" t="s">
        <v>12</v>
      </c>
      <c r="L48" s="2" t="s">
        <v>571</v>
      </c>
    </row>
    <row r="49" spans="1:12" ht="59" x14ac:dyDescent="0.75">
      <c r="A49" s="10">
        <v>2016</v>
      </c>
      <c r="B49" s="2" t="s">
        <v>346</v>
      </c>
      <c r="C49" s="2" t="s">
        <v>347</v>
      </c>
      <c r="D49" s="2" t="s">
        <v>263</v>
      </c>
      <c r="E49" s="10" t="s">
        <v>90</v>
      </c>
      <c r="F49" s="7" t="s">
        <v>573</v>
      </c>
      <c r="G49" s="4" t="s">
        <v>194</v>
      </c>
      <c r="H49" s="4" t="s">
        <v>458</v>
      </c>
      <c r="I49" s="10" t="s">
        <v>12</v>
      </c>
      <c r="J49" s="10" t="s">
        <v>73</v>
      </c>
      <c r="K49" s="10" t="s">
        <v>12</v>
      </c>
      <c r="L49" s="2" t="s">
        <v>572</v>
      </c>
    </row>
    <row r="50" spans="1:12" ht="44.25" x14ac:dyDescent="0.75">
      <c r="A50" s="10">
        <v>2016</v>
      </c>
      <c r="B50" s="2" t="s">
        <v>348</v>
      </c>
      <c r="C50" s="2" t="s">
        <v>349</v>
      </c>
      <c r="D50" s="2" t="s">
        <v>350</v>
      </c>
      <c r="E50" s="10" t="s">
        <v>11</v>
      </c>
      <c r="F50" s="7" t="s">
        <v>574</v>
      </c>
      <c r="G50" s="4" t="s">
        <v>46</v>
      </c>
      <c r="H50" s="4" t="s">
        <v>458</v>
      </c>
      <c r="I50" s="10" t="s">
        <v>12</v>
      </c>
      <c r="J50" s="10" t="s">
        <v>15</v>
      </c>
      <c r="K50" s="10" t="s">
        <v>12</v>
      </c>
      <c r="L50" s="2" t="s">
        <v>575</v>
      </c>
    </row>
    <row r="51" spans="1:12" ht="44.25" x14ac:dyDescent="0.75">
      <c r="A51" s="10">
        <v>2016</v>
      </c>
      <c r="B51" s="2" t="s">
        <v>351</v>
      </c>
      <c r="C51" s="2" t="s">
        <v>352</v>
      </c>
      <c r="D51" s="2" t="s">
        <v>291</v>
      </c>
      <c r="E51" s="10" t="s">
        <v>112</v>
      </c>
      <c r="F51" s="7" t="s">
        <v>577</v>
      </c>
      <c r="G51" s="4" t="s">
        <v>46</v>
      </c>
      <c r="H51" s="4" t="s">
        <v>458</v>
      </c>
      <c r="I51" s="10" t="s">
        <v>12</v>
      </c>
      <c r="J51" s="10" t="s">
        <v>12</v>
      </c>
      <c r="K51" s="10" t="s">
        <v>12</v>
      </c>
      <c r="L51" s="2" t="s">
        <v>576</v>
      </c>
    </row>
    <row r="52" spans="1:12" ht="103.25" x14ac:dyDescent="0.75">
      <c r="A52" s="10">
        <v>2016</v>
      </c>
      <c r="B52" s="2" t="s">
        <v>353</v>
      </c>
      <c r="C52" s="2" t="s">
        <v>580</v>
      </c>
      <c r="D52" s="2" t="s">
        <v>342</v>
      </c>
      <c r="E52" s="10" t="s">
        <v>11</v>
      </c>
      <c r="F52" s="7" t="s">
        <v>578</v>
      </c>
      <c r="G52" s="4" t="s">
        <v>46</v>
      </c>
      <c r="H52" s="4" t="s">
        <v>139</v>
      </c>
      <c r="I52" s="10" t="s">
        <v>12</v>
      </c>
      <c r="J52" s="10" t="s">
        <v>73</v>
      </c>
      <c r="K52" s="10" t="s">
        <v>12</v>
      </c>
      <c r="L52" s="2" t="s">
        <v>579</v>
      </c>
    </row>
    <row r="53" spans="1:12" ht="44.25" x14ac:dyDescent="0.75">
      <c r="A53" s="10">
        <v>2018</v>
      </c>
      <c r="B53" s="2" t="s">
        <v>355</v>
      </c>
      <c r="C53" s="2" t="s">
        <v>356</v>
      </c>
      <c r="D53" s="2" t="s">
        <v>357</v>
      </c>
      <c r="E53" s="10" t="s">
        <v>90</v>
      </c>
      <c r="F53" s="7" t="s">
        <v>582</v>
      </c>
      <c r="G53" s="4" t="s">
        <v>194</v>
      </c>
      <c r="H53" s="4" t="s">
        <v>581</v>
      </c>
      <c r="I53" s="10" t="s">
        <v>12</v>
      </c>
      <c r="J53" s="10" t="s">
        <v>15</v>
      </c>
      <c r="K53" s="10" t="s">
        <v>12</v>
      </c>
      <c r="L53" s="2" t="s">
        <v>583</v>
      </c>
    </row>
    <row r="54" spans="1:12" ht="59" x14ac:dyDescent="0.75">
      <c r="A54" s="10">
        <v>2018</v>
      </c>
      <c r="B54" s="2" t="s">
        <v>358</v>
      </c>
      <c r="C54" s="2" t="s">
        <v>359</v>
      </c>
      <c r="D54" s="2" t="s">
        <v>360</v>
      </c>
      <c r="E54" s="10" t="s">
        <v>26</v>
      </c>
      <c r="F54" s="7" t="s">
        <v>584</v>
      </c>
      <c r="G54" s="4" t="s">
        <v>460</v>
      </c>
      <c r="H54" s="4" t="s">
        <v>458</v>
      </c>
      <c r="I54" s="10" t="s">
        <v>12</v>
      </c>
      <c r="J54" s="10" t="s">
        <v>73</v>
      </c>
      <c r="K54" s="10" t="s">
        <v>12</v>
      </c>
      <c r="L54" s="2" t="s">
        <v>585</v>
      </c>
    </row>
    <row r="55" spans="1:12" ht="44.25" x14ac:dyDescent="0.75">
      <c r="A55" s="10">
        <v>2019</v>
      </c>
      <c r="B55" s="2" t="s">
        <v>361</v>
      </c>
      <c r="C55" s="2" t="s">
        <v>354</v>
      </c>
      <c r="D55" s="2" t="s">
        <v>456</v>
      </c>
      <c r="E55" s="10" t="s">
        <v>455</v>
      </c>
      <c r="F55" s="7" t="s">
        <v>473</v>
      </c>
      <c r="G55" s="4" t="s">
        <v>471</v>
      </c>
      <c r="H55" s="4" t="s">
        <v>458</v>
      </c>
      <c r="I55" s="10" t="s">
        <v>12</v>
      </c>
      <c r="J55" s="10" t="s">
        <v>15</v>
      </c>
      <c r="K55" s="10" t="s">
        <v>12</v>
      </c>
      <c r="L55" s="2" t="s">
        <v>472</v>
      </c>
    </row>
    <row r="56" spans="1:12" ht="118" x14ac:dyDescent="0.75">
      <c r="A56" s="10">
        <v>2019</v>
      </c>
      <c r="B56" s="2" t="s">
        <v>362</v>
      </c>
      <c r="C56" s="2" t="s">
        <v>363</v>
      </c>
      <c r="D56" s="2" t="s">
        <v>357</v>
      </c>
      <c r="E56" s="10" t="s">
        <v>90</v>
      </c>
      <c r="F56" s="7" t="s">
        <v>586</v>
      </c>
      <c r="G56" s="4" t="s">
        <v>96</v>
      </c>
      <c r="H56" s="4" t="s">
        <v>496</v>
      </c>
      <c r="I56" s="10" t="s">
        <v>15</v>
      </c>
      <c r="J56" s="10" t="s">
        <v>73</v>
      </c>
      <c r="K56" s="10" t="s">
        <v>12</v>
      </c>
      <c r="L56" s="2" t="s">
        <v>587</v>
      </c>
    </row>
    <row r="57" spans="1:12" ht="44.25" x14ac:dyDescent="0.75">
      <c r="A57" s="10">
        <v>2019</v>
      </c>
      <c r="B57" s="2" t="s">
        <v>364</v>
      </c>
      <c r="C57" s="2" t="s">
        <v>365</v>
      </c>
      <c r="D57" s="2" t="s">
        <v>266</v>
      </c>
      <c r="E57" s="10" t="s">
        <v>90</v>
      </c>
      <c r="F57" s="7" t="s">
        <v>588</v>
      </c>
      <c r="G57" s="4" t="s">
        <v>78</v>
      </c>
      <c r="H57" s="4" t="s">
        <v>458</v>
      </c>
      <c r="I57" s="10" t="s">
        <v>12</v>
      </c>
      <c r="J57" s="10" t="s">
        <v>12</v>
      </c>
      <c r="K57" s="10" t="s">
        <v>15</v>
      </c>
      <c r="L57" s="2" t="s">
        <v>589</v>
      </c>
    </row>
    <row r="58" spans="1:12" ht="73.75" x14ac:dyDescent="0.75">
      <c r="A58" s="10">
        <v>2019</v>
      </c>
      <c r="B58" s="2" t="s">
        <v>366</v>
      </c>
      <c r="C58" s="2" t="s">
        <v>367</v>
      </c>
      <c r="D58" s="2" t="s">
        <v>230</v>
      </c>
      <c r="E58" s="10" t="s">
        <v>90</v>
      </c>
      <c r="F58" s="7" t="s">
        <v>590</v>
      </c>
      <c r="G58" s="4" t="s">
        <v>593</v>
      </c>
      <c r="H58" s="4" t="s">
        <v>458</v>
      </c>
      <c r="I58" s="10" t="s">
        <v>12</v>
      </c>
      <c r="J58" s="10" t="s">
        <v>15</v>
      </c>
      <c r="K58" s="10" t="s">
        <v>15</v>
      </c>
      <c r="L58" s="2" t="s">
        <v>591</v>
      </c>
    </row>
    <row r="59" spans="1:12" ht="44.25" x14ac:dyDescent="0.75">
      <c r="A59" s="10">
        <v>2019</v>
      </c>
      <c r="B59" s="2" t="s">
        <v>368</v>
      </c>
      <c r="C59" s="2" t="s">
        <v>369</v>
      </c>
      <c r="D59" s="2" t="s">
        <v>360</v>
      </c>
      <c r="E59" s="10" t="s">
        <v>26</v>
      </c>
      <c r="F59" s="7" t="s">
        <v>592</v>
      </c>
      <c r="G59" s="4" t="s">
        <v>460</v>
      </c>
      <c r="H59" s="4" t="s">
        <v>458</v>
      </c>
      <c r="I59" s="10" t="s">
        <v>12</v>
      </c>
      <c r="J59" s="10" t="s">
        <v>73</v>
      </c>
      <c r="K59" s="10" t="s">
        <v>12</v>
      </c>
      <c r="L59" s="2" t="s">
        <v>594</v>
      </c>
    </row>
    <row r="60" spans="1:12" ht="88.5" x14ac:dyDescent="0.75">
      <c r="A60" s="10">
        <v>2019</v>
      </c>
      <c r="B60" s="2" t="s">
        <v>370</v>
      </c>
      <c r="C60" s="2" t="s">
        <v>371</v>
      </c>
      <c r="D60" s="2" t="s">
        <v>372</v>
      </c>
      <c r="E60" s="10" t="s">
        <v>90</v>
      </c>
      <c r="F60" s="7" t="s">
        <v>595</v>
      </c>
      <c r="G60" s="4" t="s">
        <v>46</v>
      </c>
      <c r="H60" s="4" t="s">
        <v>496</v>
      </c>
      <c r="I60" s="10" t="s">
        <v>12</v>
      </c>
      <c r="J60" s="10" t="s">
        <v>73</v>
      </c>
      <c r="K60" s="10" t="s">
        <v>12</v>
      </c>
      <c r="L60" s="2" t="s">
        <v>596</v>
      </c>
    </row>
    <row r="61" spans="1:12" ht="59" x14ac:dyDescent="0.75">
      <c r="A61" s="10">
        <v>2019</v>
      </c>
      <c r="B61" s="2" t="s">
        <v>373</v>
      </c>
      <c r="C61" s="2" t="s">
        <v>374</v>
      </c>
      <c r="D61" s="2" t="s">
        <v>375</v>
      </c>
      <c r="E61" s="10" t="s">
        <v>90</v>
      </c>
      <c r="F61" s="7" t="s">
        <v>474</v>
      </c>
      <c r="G61" s="4" t="s">
        <v>78</v>
      </c>
      <c r="H61" s="4" t="s">
        <v>458</v>
      </c>
      <c r="I61" s="10" t="s">
        <v>12</v>
      </c>
      <c r="J61" s="10" t="s">
        <v>15</v>
      </c>
      <c r="K61" s="10" t="s">
        <v>12</v>
      </c>
      <c r="L61" s="2" t="s">
        <v>475</v>
      </c>
    </row>
    <row r="62" spans="1:12" ht="44.25" x14ac:dyDescent="0.75">
      <c r="A62" s="10">
        <v>2020</v>
      </c>
      <c r="B62" s="2" t="s">
        <v>376</v>
      </c>
      <c r="C62" s="2" t="s">
        <v>377</v>
      </c>
      <c r="D62" s="2" t="s">
        <v>378</v>
      </c>
      <c r="E62" s="10" t="s">
        <v>454</v>
      </c>
      <c r="F62" s="7" t="s">
        <v>597</v>
      </c>
      <c r="G62" s="4" t="s">
        <v>78</v>
      </c>
      <c r="H62" s="4" t="s">
        <v>458</v>
      </c>
      <c r="I62" s="10" t="s">
        <v>12</v>
      </c>
      <c r="J62" s="10" t="s">
        <v>15</v>
      </c>
      <c r="K62" s="10" t="s">
        <v>12</v>
      </c>
      <c r="L62" s="2" t="s">
        <v>598</v>
      </c>
    </row>
    <row r="63" spans="1:12" ht="59" x14ac:dyDescent="0.75">
      <c r="A63" s="10">
        <v>2020</v>
      </c>
      <c r="B63" s="2" t="s">
        <v>379</v>
      </c>
      <c r="C63" s="2" t="s">
        <v>380</v>
      </c>
      <c r="D63" s="2" t="s">
        <v>381</v>
      </c>
      <c r="E63" s="10" t="s">
        <v>11</v>
      </c>
      <c r="F63" s="7" t="s">
        <v>601</v>
      </c>
      <c r="G63" s="4" t="s">
        <v>599</v>
      </c>
      <c r="H63" s="4" t="s">
        <v>458</v>
      </c>
      <c r="I63" s="10" t="s">
        <v>15</v>
      </c>
      <c r="J63" s="10" t="s">
        <v>15</v>
      </c>
      <c r="K63" s="10" t="s">
        <v>15</v>
      </c>
      <c r="L63" s="2" t="s">
        <v>600</v>
      </c>
    </row>
    <row r="64" spans="1:12" ht="44.25" x14ac:dyDescent="0.75">
      <c r="A64" s="10">
        <v>2020</v>
      </c>
      <c r="B64" s="2" t="s">
        <v>382</v>
      </c>
      <c r="C64" s="2" t="s">
        <v>383</v>
      </c>
      <c r="D64" s="2" t="s">
        <v>284</v>
      </c>
      <c r="E64" s="10" t="s">
        <v>26</v>
      </c>
      <c r="F64" s="7" t="s">
        <v>602</v>
      </c>
      <c r="G64" s="4" t="s">
        <v>193</v>
      </c>
      <c r="H64" s="4" t="s">
        <v>139</v>
      </c>
      <c r="I64" s="10" t="s">
        <v>12</v>
      </c>
      <c r="J64" s="10" t="s">
        <v>15</v>
      </c>
      <c r="K64" s="10" t="s">
        <v>12</v>
      </c>
      <c r="L64" s="2" t="s">
        <v>603</v>
      </c>
    </row>
    <row r="65" spans="1:12" ht="59" x14ac:dyDescent="0.75">
      <c r="A65" s="10">
        <v>2020</v>
      </c>
      <c r="B65" s="2" t="s">
        <v>384</v>
      </c>
      <c r="C65" s="2" t="s">
        <v>385</v>
      </c>
      <c r="D65" s="2" t="s">
        <v>360</v>
      </c>
      <c r="E65" s="10" t="s">
        <v>26</v>
      </c>
      <c r="F65" s="7" t="s">
        <v>604</v>
      </c>
      <c r="G65" s="4" t="s">
        <v>605</v>
      </c>
      <c r="H65" s="4" t="s">
        <v>458</v>
      </c>
      <c r="I65" s="10" t="s">
        <v>12</v>
      </c>
      <c r="J65" s="10" t="s">
        <v>15</v>
      </c>
      <c r="K65" s="10" t="s">
        <v>12</v>
      </c>
      <c r="L65" s="2" t="s">
        <v>606</v>
      </c>
    </row>
    <row r="66" spans="1:12" ht="44.25" x14ac:dyDescent="0.75">
      <c r="A66" s="10">
        <v>2021</v>
      </c>
      <c r="B66" s="2" t="s">
        <v>386</v>
      </c>
      <c r="C66" s="2" t="s">
        <v>387</v>
      </c>
      <c r="D66" s="2" t="s">
        <v>244</v>
      </c>
      <c r="E66" s="10" t="s">
        <v>112</v>
      </c>
      <c r="F66" s="7" t="s">
        <v>607</v>
      </c>
      <c r="G66" s="4" t="s">
        <v>78</v>
      </c>
      <c r="H66" s="4" t="s">
        <v>458</v>
      </c>
      <c r="I66" s="10" t="s">
        <v>15</v>
      </c>
      <c r="J66" s="10" t="s">
        <v>15</v>
      </c>
      <c r="K66" s="10" t="s">
        <v>12</v>
      </c>
      <c r="L66" s="2" t="s">
        <v>608</v>
      </c>
    </row>
    <row r="67" spans="1:12" ht="59" x14ac:dyDescent="0.75">
      <c r="A67" s="10">
        <v>2021</v>
      </c>
      <c r="B67" s="2" t="s">
        <v>388</v>
      </c>
      <c r="C67" s="2" t="s">
        <v>389</v>
      </c>
      <c r="D67" s="2" t="s">
        <v>390</v>
      </c>
      <c r="E67" s="10" t="s">
        <v>90</v>
      </c>
      <c r="F67" s="7" t="s">
        <v>609</v>
      </c>
      <c r="G67" s="4" t="s">
        <v>46</v>
      </c>
      <c r="H67" s="4" t="s">
        <v>458</v>
      </c>
      <c r="I67" s="10" t="s">
        <v>12</v>
      </c>
      <c r="J67" s="10" t="s">
        <v>15</v>
      </c>
      <c r="K67" s="10" t="s">
        <v>12</v>
      </c>
      <c r="L67" s="2" t="s">
        <v>610</v>
      </c>
    </row>
    <row r="68" spans="1:12" ht="73.75" x14ac:dyDescent="0.75">
      <c r="A68" s="10">
        <v>2021</v>
      </c>
      <c r="B68" s="2" t="s">
        <v>391</v>
      </c>
      <c r="C68" s="2" t="s">
        <v>392</v>
      </c>
      <c r="D68" s="2" t="s">
        <v>393</v>
      </c>
      <c r="E68" s="10" t="s">
        <v>41</v>
      </c>
      <c r="F68" s="7" t="s">
        <v>611</v>
      </c>
      <c r="G68" s="4" t="s">
        <v>46</v>
      </c>
      <c r="H68" s="4" t="s">
        <v>139</v>
      </c>
      <c r="I68" s="10" t="s">
        <v>12</v>
      </c>
      <c r="J68" s="10" t="s">
        <v>73</v>
      </c>
      <c r="K68" s="10" t="s">
        <v>12</v>
      </c>
      <c r="L68" s="2" t="s">
        <v>612</v>
      </c>
    </row>
    <row r="69" spans="1:12" ht="44.25" x14ac:dyDescent="0.75">
      <c r="A69" s="10">
        <v>2021</v>
      </c>
      <c r="B69" s="2" t="s">
        <v>394</v>
      </c>
      <c r="C69" s="2" t="s">
        <v>395</v>
      </c>
      <c r="D69" s="2" t="s">
        <v>350</v>
      </c>
      <c r="E69" s="10" t="s">
        <v>26</v>
      </c>
      <c r="F69" s="7" t="s">
        <v>613</v>
      </c>
      <c r="G69" s="4" t="s">
        <v>46</v>
      </c>
      <c r="H69" s="4" t="s">
        <v>458</v>
      </c>
      <c r="I69" s="10" t="s">
        <v>12</v>
      </c>
      <c r="J69" s="10" t="s">
        <v>12</v>
      </c>
      <c r="K69" s="10" t="s">
        <v>12</v>
      </c>
      <c r="L69" s="2" t="s">
        <v>614</v>
      </c>
    </row>
    <row r="70" spans="1:12" ht="59" x14ac:dyDescent="0.75">
      <c r="A70" s="10">
        <v>2021</v>
      </c>
      <c r="B70" s="2" t="s">
        <v>396</v>
      </c>
      <c r="C70" s="2" t="s">
        <v>397</v>
      </c>
      <c r="D70" s="2" t="s">
        <v>284</v>
      </c>
      <c r="E70" s="10" t="s">
        <v>26</v>
      </c>
      <c r="F70" s="7" t="s">
        <v>615</v>
      </c>
      <c r="G70" s="4" t="s">
        <v>46</v>
      </c>
      <c r="H70" s="4" t="s">
        <v>139</v>
      </c>
      <c r="I70" s="10" t="s">
        <v>12</v>
      </c>
      <c r="J70" s="10" t="s">
        <v>12</v>
      </c>
      <c r="K70" s="10" t="s">
        <v>15</v>
      </c>
      <c r="L70" s="2" t="s">
        <v>616</v>
      </c>
    </row>
    <row r="71" spans="1:12" ht="44.25" x14ac:dyDescent="0.75">
      <c r="A71" s="10">
        <v>2021</v>
      </c>
      <c r="B71" s="2" t="s">
        <v>457</v>
      </c>
      <c r="C71" s="2" t="s">
        <v>398</v>
      </c>
      <c r="D71" s="11" t="s">
        <v>548</v>
      </c>
      <c r="E71" s="10" t="s">
        <v>90</v>
      </c>
      <c r="F71" s="7" t="s">
        <v>617</v>
      </c>
      <c r="G71" s="4" t="s">
        <v>105</v>
      </c>
      <c r="H71" s="4" t="s">
        <v>458</v>
      </c>
      <c r="I71" s="10" t="s">
        <v>12</v>
      </c>
      <c r="J71" s="10" t="s">
        <v>12</v>
      </c>
      <c r="K71" s="10" t="s">
        <v>12</v>
      </c>
      <c r="L71" s="2" t="s">
        <v>618</v>
      </c>
    </row>
    <row r="72" spans="1:12" ht="73.75" x14ac:dyDescent="0.75">
      <c r="A72" s="10">
        <v>2021</v>
      </c>
      <c r="B72" s="2" t="s">
        <v>399</v>
      </c>
      <c r="C72" s="2" t="s">
        <v>400</v>
      </c>
      <c r="D72" s="2" t="s">
        <v>244</v>
      </c>
      <c r="E72" s="10" t="s">
        <v>26</v>
      </c>
      <c r="F72" s="7" t="s">
        <v>619</v>
      </c>
      <c r="G72" s="4" t="s">
        <v>605</v>
      </c>
      <c r="H72" s="4" t="s">
        <v>458</v>
      </c>
      <c r="I72" s="10" t="s">
        <v>12</v>
      </c>
      <c r="J72" s="10" t="s">
        <v>12</v>
      </c>
      <c r="K72" s="10" t="s">
        <v>12</v>
      </c>
      <c r="L72" s="2" t="s">
        <v>634</v>
      </c>
    </row>
    <row r="73" spans="1:12" ht="73.75" x14ac:dyDescent="0.75">
      <c r="A73" s="10">
        <v>2022</v>
      </c>
      <c r="B73" s="2" t="s">
        <v>401</v>
      </c>
      <c r="C73" s="2" t="s">
        <v>402</v>
      </c>
      <c r="D73" s="2" t="s">
        <v>403</v>
      </c>
      <c r="E73" s="10" t="s">
        <v>41</v>
      </c>
      <c r="F73" s="7" t="s">
        <v>621</v>
      </c>
      <c r="G73" s="4" t="s">
        <v>622</v>
      </c>
      <c r="H73" s="4" t="s">
        <v>558</v>
      </c>
      <c r="I73" s="10" t="s">
        <v>12</v>
      </c>
      <c r="J73" s="10" t="s">
        <v>73</v>
      </c>
      <c r="K73" s="10" t="s">
        <v>15</v>
      </c>
      <c r="L73" s="2" t="s">
        <v>620</v>
      </c>
    </row>
    <row r="74" spans="1:12" ht="73.75" x14ac:dyDescent="0.75">
      <c r="A74" s="10">
        <v>2022</v>
      </c>
      <c r="B74" s="2" t="s">
        <v>404</v>
      </c>
      <c r="C74" s="2" t="s">
        <v>405</v>
      </c>
      <c r="D74" s="2" t="s">
        <v>426</v>
      </c>
      <c r="E74" s="10" t="s">
        <v>90</v>
      </c>
      <c r="F74" s="7" t="s">
        <v>623</v>
      </c>
      <c r="G74" s="4" t="s">
        <v>471</v>
      </c>
      <c r="H74" s="4" t="s">
        <v>139</v>
      </c>
      <c r="I74" s="10" t="s">
        <v>12</v>
      </c>
      <c r="J74" s="10" t="s">
        <v>15</v>
      </c>
      <c r="K74" s="10" t="s">
        <v>12</v>
      </c>
      <c r="L74" s="2" t="s">
        <v>624</v>
      </c>
    </row>
    <row r="75" spans="1:12" ht="59" x14ac:dyDescent="0.75">
      <c r="A75" s="10">
        <v>2022</v>
      </c>
      <c r="B75" s="2" t="s">
        <v>406</v>
      </c>
      <c r="C75" s="2" t="s">
        <v>407</v>
      </c>
      <c r="D75" s="2" t="s">
        <v>408</v>
      </c>
      <c r="E75" s="10" t="s">
        <v>90</v>
      </c>
      <c r="F75" s="7" t="s">
        <v>625</v>
      </c>
      <c r="G75" s="4" t="s">
        <v>471</v>
      </c>
      <c r="H75" s="4" t="s">
        <v>458</v>
      </c>
      <c r="I75" s="10" t="s">
        <v>12</v>
      </c>
      <c r="J75" s="10" t="s">
        <v>12</v>
      </c>
      <c r="K75" s="10" t="s">
        <v>12</v>
      </c>
      <c r="L75" s="2" t="s">
        <v>626</v>
      </c>
    </row>
    <row r="76" spans="1:12" ht="44.25" x14ac:dyDescent="0.75">
      <c r="A76" s="10">
        <v>2022</v>
      </c>
      <c r="B76" s="2" t="s">
        <v>409</v>
      </c>
      <c r="C76" s="2" t="s">
        <v>410</v>
      </c>
      <c r="D76" s="2" t="s">
        <v>411</v>
      </c>
      <c r="E76" s="10" t="s">
        <v>26</v>
      </c>
      <c r="F76" s="7" t="s">
        <v>629</v>
      </c>
      <c r="G76" s="4" t="s">
        <v>628</v>
      </c>
      <c r="H76" s="4" t="s">
        <v>627</v>
      </c>
      <c r="I76" s="10" t="s">
        <v>12</v>
      </c>
      <c r="J76" s="10" t="s">
        <v>73</v>
      </c>
      <c r="K76" s="10" t="s">
        <v>12</v>
      </c>
      <c r="L76" s="2" t="s">
        <v>630</v>
      </c>
    </row>
    <row r="77" spans="1:12" ht="59" x14ac:dyDescent="0.75">
      <c r="A77" s="10">
        <v>2022</v>
      </c>
      <c r="B77" s="2" t="s">
        <v>412</v>
      </c>
      <c r="C77" s="2" t="s">
        <v>413</v>
      </c>
      <c r="D77" s="2" t="s">
        <v>414</v>
      </c>
      <c r="E77" s="10" t="s">
        <v>11</v>
      </c>
      <c r="F77" s="7" t="s">
        <v>631</v>
      </c>
      <c r="G77" s="4" t="s">
        <v>46</v>
      </c>
      <c r="H77" s="4" t="s">
        <v>496</v>
      </c>
      <c r="I77" s="10" t="s">
        <v>12</v>
      </c>
      <c r="J77" s="10" t="s">
        <v>12</v>
      </c>
      <c r="K77" s="10" t="s">
        <v>15</v>
      </c>
      <c r="L77" s="2" t="s">
        <v>632</v>
      </c>
    </row>
    <row r="78" spans="1:12" ht="44.25" x14ac:dyDescent="0.75">
      <c r="A78" s="10">
        <v>2022</v>
      </c>
      <c r="B78" s="2" t="s">
        <v>415</v>
      </c>
      <c r="C78" s="2" t="s">
        <v>416</v>
      </c>
      <c r="D78" s="2" t="s">
        <v>417</v>
      </c>
      <c r="E78" s="10" t="s">
        <v>26</v>
      </c>
      <c r="F78" s="7" t="s">
        <v>633</v>
      </c>
      <c r="G78" s="4" t="s">
        <v>605</v>
      </c>
      <c r="H78" s="4" t="s">
        <v>458</v>
      </c>
      <c r="I78" s="10" t="s">
        <v>12</v>
      </c>
      <c r="J78" s="10" t="s">
        <v>15</v>
      </c>
      <c r="K78" s="10" t="s">
        <v>12</v>
      </c>
      <c r="L78" s="2" t="s">
        <v>635</v>
      </c>
    </row>
    <row r="79" spans="1:12" ht="103.25" x14ac:dyDescent="0.75">
      <c r="A79" s="10">
        <v>2022</v>
      </c>
      <c r="B79" s="2" t="s">
        <v>418</v>
      </c>
      <c r="C79" s="2" t="s">
        <v>419</v>
      </c>
      <c r="D79" s="2" t="s">
        <v>420</v>
      </c>
      <c r="E79" s="10" t="s">
        <v>90</v>
      </c>
      <c r="F79" s="7" t="s">
        <v>636</v>
      </c>
      <c r="G79" s="4" t="s">
        <v>96</v>
      </c>
      <c r="H79" s="4" t="s">
        <v>458</v>
      </c>
      <c r="I79" s="10" t="s">
        <v>12</v>
      </c>
      <c r="J79" s="10" t="s">
        <v>15</v>
      </c>
      <c r="K79" s="10" t="s">
        <v>12</v>
      </c>
      <c r="L79" s="2" t="s">
        <v>637</v>
      </c>
    </row>
    <row r="80" spans="1:12" ht="44.25" x14ac:dyDescent="0.75">
      <c r="A80" s="10">
        <v>2022</v>
      </c>
      <c r="B80" s="2" t="s">
        <v>421</v>
      </c>
      <c r="C80" s="2" t="s">
        <v>422</v>
      </c>
      <c r="D80" s="2" t="s">
        <v>403</v>
      </c>
      <c r="E80" s="10" t="s">
        <v>41</v>
      </c>
      <c r="F80" s="7" t="s">
        <v>638</v>
      </c>
      <c r="G80" s="4" t="s">
        <v>46</v>
      </c>
      <c r="H80" s="4" t="s">
        <v>496</v>
      </c>
      <c r="I80" s="10" t="s">
        <v>12</v>
      </c>
      <c r="J80" s="10" t="s">
        <v>15</v>
      </c>
      <c r="K80" s="10" t="s">
        <v>15</v>
      </c>
      <c r="L80" s="2" t="s">
        <v>639</v>
      </c>
    </row>
    <row r="81" spans="1:12" ht="118" x14ac:dyDescent="0.75">
      <c r="A81" s="10">
        <v>2023</v>
      </c>
      <c r="B81" s="2" t="s">
        <v>423</v>
      </c>
      <c r="C81" s="2" t="s">
        <v>640</v>
      </c>
      <c r="D81" s="2" t="s">
        <v>297</v>
      </c>
      <c r="E81" s="10" t="s">
        <v>90</v>
      </c>
      <c r="F81" s="7" t="s">
        <v>641</v>
      </c>
      <c r="G81" s="4" t="s">
        <v>642</v>
      </c>
      <c r="H81" s="4" t="s">
        <v>458</v>
      </c>
      <c r="I81" s="10" t="s">
        <v>12</v>
      </c>
      <c r="J81" s="10" t="s">
        <v>15</v>
      </c>
      <c r="K81" s="10" t="s">
        <v>12</v>
      </c>
      <c r="L81" s="2" t="s">
        <v>644</v>
      </c>
    </row>
    <row r="82" spans="1:12" ht="73.75" x14ac:dyDescent="0.75">
      <c r="A82" s="10">
        <v>2023</v>
      </c>
      <c r="B82" s="2" t="s">
        <v>424</v>
      </c>
      <c r="C82" s="2" t="s">
        <v>425</v>
      </c>
      <c r="D82" s="2" t="s">
        <v>345</v>
      </c>
      <c r="E82" s="10" t="s">
        <v>26</v>
      </c>
      <c r="F82" s="7" t="s">
        <v>645</v>
      </c>
      <c r="G82" s="4" t="s">
        <v>46</v>
      </c>
      <c r="H82" s="4" t="s">
        <v>496</v>
      </c>
      <c r="I82" s="10" t="s">
        <v>12</v>
      </c>
      <c r="J82" s="10" t="s">
        <v>15</v>
      </c>
      <c r="K82" s="10" t="s">
        <v>15</v>
      </c>
      <c r="L82" s="2" t="s">
        <v>646</v>
      </c>
    </row>
    <row r="83" spans="1:12" ht="88.5" x14ac:dyDescent="0.75">
      <c r="A83" s="10">
        <v>2023</v>
      </c>
      <c r="B83" s="2" t="s">
        <v>427</v>
      </c>
      <c r="C83" s="2" t="s">
        <v>428</v>
      </c>
      <c r="D83" s="2" t="s">
        <v>260</v>
      </c>
      <c r="E83" s="10" t="s">
        <v>90</v>
      </c>
      <c r="F83" s="7" t="s">
        <v>647</v>
      </c>
      <c r="G83" s="4" t="s">
        <v>460</v>
      </c>
      <c r="H83" s="4" t="s">
        <v>139</v>
      </c>
      <c r="I83" s="10" t="s">
        <v>12</v>
      </c>
      <c r="J83" s="10" t="s">
        <v>12</v>
      </c>
      <c r="K83" s="10" t="s">
        <v>12</v>
      </c>
      <c r="L83" s="2" t="s">
        <v>648</v>
      </c>
    </row>
    <row r="84" spans="1:12" ht="59" x14ac:dyDescent="0.75">
      <c r="A84" s="10">
        <v>2023</v>
      </c>
      <c r="B84" s="2" t="s">
        <v>429</v>
      </c>
      <c r="C84" s="2" t="s">
        <v>430</v>
      </c>
      <c r="D84" s="2" t="s">
        <v>431</v>
      </c>
      <c r="E84" s="10" t="s">
        <v>11</v>
      </c>
      <c r="F84" s="7" t="s">
        <v>649</v>
      </c>
      <c r="G84" s="4" t="s">
        <v>78</v>
      </c>
      <c r="H84" s="4" t="s">
        <v>458</v>
      </c>
      <c r="I84" s="10" t="s">
        <v>12</v>
      </c>
      <c r="J84" s="10" t="s">
        <v>15</v>
      </c>
      <c r="K84" s="10" t="s">
        <v>15</v>
      </c>
      <c r="L84" s="2" t="s">
        <v>650</v>
      </c>
    </row>
    <row r="85" spans="1:12" ht="73.75" x14ac:dyDescent="0.75">
      <c r="A85" s="10">
        <v>2024</v>
      </c>
      <c r="B85" s="2" t="s">
        <v>432</v>
      </c>
      <c r="C85" s="2" t="s">
        <v>433</v>
      </c>
      <c r="D85" s="2" t="s">
        <v>434</v>
      </c>
      <c r="E85" s="10" t="s">
        <v>41</v>
      </c>
      <c r="F85" s="7" t="s">
        <v>651</v>
      </c>
      <c r="G85" s="4" t="s">
        <v>78</v>
      </c>
      <c r="H85" s="4" t="s">
        <v>458</v>
      </c>
      <c r="I85" s="10" t="s">
        <v>12</v>
      </c>
      <c r="J85" s="10" t="s">
        <v>12</v>
      </c>
      <c r="K85" s="10" t="s">
        <v>12</v>
      </c>
      <c r="L85" s="2" t="s">
        <v>652</v>
      </c>
    </row>
    <row r="86" spans="1:12" ht="88.5" x14ac:dyDescent="0.75">
      <c r="A86" s="10">
        <v>2024</v>
      </c>
      <c r="B86" s="2" t="s">
        <v>435</v>
      </c>
      <c r="C86" s="2" t="s">
        <v>436</v>
      </c>
      <c r="D86" s="2" t="s">
        <v>437</v>
      </c>
      <c r="E86" s="10" t="s">
        <v>45</v>
      </c>
      <c r="F86" s="7" t="s">
        <v>653</v>
      </c>
      <c r="G86" s="4" t="s">
        <v>655</v>
      </c>
      <c r="H86" s="4" t="s">
        <v>139</v>
      </c>
      <c r="I86" s="10" t="s">
        <v>12</v>
      </c>
      <c r="J86" s="10" t="s">
        <v>15</v>
      </c>
      <c r="K86" s="10" t="s">
        <v>12</v>
      </c>
      <c r="L86" s="2" t="s">
        <v>654</v>
      </c>
    </row>
    <row r="87" spans="1:12" ht="59" x14ac:dyDescent="0.75">
      <c r="A87" s="10">
        <v>2024</v>
      </c>
      <c r="B87" s="2" t="s">
        <v>438</v>
      </c>
      <c r="C87" s="2" t="s">
        <v>439</v>
      </c>
      <c r="D87" s="2" t="s">
        <v>440</v>
      </c>
      <c r="E87" s="10" t="s">
        <v>11</v>
      </c>
      <c r="F87" s="7" t="s">
        <v>656</v>
      </c>
      <c r="G87" s="4" t="s">
        <v>46</v>
      </c>
      <c r="H87" s="4" t="s">
        <v>496</v>
      </c>
      <c r="I87" s="10" t="s">
        <v>12</v>
      </c>
      <c r="J87" s="10" t="s">
        <v>15</v>
      </c>
      <c r="K87" s="10" t="s">
        <v>12</v>
      </c>
      <c r="L87" s="2" t="s">
        <v>657</v>
      </c>
    </row>
    <row r="88" spans="1:12" ht="73.75" x14ac:dyDescent="0.75">
      <c r="A88" s="10">
        <v>2024</v>
      </c>
      <c r="B88" s="2" t="s">
        <v>441</v>
      </c>
      <c r="C88" s="2" t="s">
        <v>442</v>
      </c>
      <c r="D88" s="2" t="s">
        <v>360</v>
      </c>
      <c r="E88" s="10" t="s">
        <v>90</v>
      </c>
      <c r="F88" s="7" t="s">
        <v>658</v>
      </c>
      <c r="G88" s="4" t="s">
        <v>494</v>
      </c>
      <c r="H88" s="4" t="s">
        <v>458</v>
      </c>
      <c r="I88" s="10" t="s">
        <v>12</v>
      </c>
      <c r="J88" s="10" t="s">
        <v>15</v>
      </c>
      <c r="K88" s="10" t="s">
        <v>12</v>
      </c>
      <c r="L88" s="2" t="s">
        <v>659</v>
      </c>
    </row>
    <row r="89" spans="1:12" ht="44.25" x14ac:dyDescent="0.75">
      <c r="A89" s="10">
        <v>2024</v>
      </c>
      <c r="B89" s="2" t="s">
        <v>443</v>
      </c>
      <c r="C89" s="2" t="s">
        <v>444</v>
      </c>
      <c r="D89" s="2" t="s">
        <v>381</v>
      </c>
      <c r="E89" s="10" t="s">
        <v>90</v>
      </c>
      <c r="F89" s="7" t="s">
        <v>661</v>
      </c>
      <c r="G89" s="4" t="s">
        <v>46</v>
      </c>
      <c r="H89" s="4" t="s">
        <v>496</v>
      </c>
      <c r="I89" s="10" t="s">
        <v>12</v>
      </c>
      <c r="J89" s="10" t="s">
        <v>12</v>
      </c>
      <c r="K89" s="10" t="s">
        <v>12</v>
      </c>
      <c r="L89" s="2" t="s">
        <v>662</v>
      </c>
    </row>
    <row r="90" spans="1:12" ht="409.5" x14ac:dyDescent="0.75">
      <c r="A90" s="10">
        <v>2024</v>
      </c>
      <c r="B90" s="2" t="s">
        <v>445</v>
      </c>
      <c r="C90" s="2" t="s">
        <v>446</v>
      </c>
      <c r="D90" s="2" t="s">
        <v>447</v>
      </c>
      <c r="E90" s="10" t="s">
        <v>41</v>
      </c>
      <c r="F90" s="7" t="s">
        <v>663</v>
      </c>
      <c r="G90" s="4" t="s">
        <v>96</v>
      </c>
      <c r="H90" s="4" t="s">
        <v>458</v>
      </c>
      <c r="I90" s="10" t="s">
        <v>12</v>
      </c>
      <c r="J90" s="10" t="s">
        <v>12</v>
      </c>
      <c r="K90" s="10" t="s">
        <v>12</v>
      </c>
      <c r="L90" s="2" t="s">
        <v>664</v>
      </c>
    </row>
    <row r="91" spans="1:12" x14ac:dyDescent="0.75">
      <c r="A91" s="14" t="s">
        <v>660</v>
      </c>
    </row>
  </sheetData>
  <sortState xmlns:xlrd2="http://schemas.microsoft.com/office/spreadsheetml/2017/richdata2" ref="D91:E140">
    <sortCondition descending="1" ref="E91:E14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EC0D-0CF3-47B1-885D-55CC558750B2}">
  <dimension ref="A1:Q53"/>
  <sheetViews>
    <sheetView workbookViewId="0">
      <selection activeCell="D19" sqref="D19"/>
    </sheetView>
  </sheetViews>
  <sheetFormatPr defaultRowHeight="14.75" x14ac:dyDescent="0.75"/>
  <cols>
    <col min="1" max="1" width="35.58984375" customWidth="1"/>
    <col min="4" max="4" width="12.6796875" customWidth="1"/>
    <col min="10" max="10" width="13.2265625" customWidth="1"/>
    <col min="13" max="13" width="14.58984375" customWidth="1"/>
    <col min="16" max="16" width="24.6796875" customWidth="1"/>
  </cols>
  <sheetData>
    <row r="1" spans="1:17" s="12" customFormat="1" x14ac:dyDescent="0.75">
      <c r="A1" s="13" t="s">
        <v>538</v>
      </c>
      <c r="B1" s="13" t="s">
        <v>539</v>
      </c>
      <c r="D1" s="13" t="s">
        <v>10</v>
      </c>
      <c r="E1" s="13" t="s">
        <v>539</v>
      </c>
      <c r="G1" s="13" t="s">
        <v>540</v>
      </c>
      <c r="H1" s="13" t="s">
        <v>539</v>
      </c>
      <c r="J1" s="13" t="s">
        <v>77</v>
      </c>
      <c r="K1" s="13" t="s">
        <v>539</v>
      </c>
      <c r="M1" s="13" t="s">
        <v>448</v>
      </c>
      <c r="N1" s="13" t="s">
        <v>539</v>
      </c>
      <c r="P1" s="13" t="s">
        <v>2</v>
      </c>
      <c r="Q1" s="13" t="s">
        <v>539</v>
      </c>
    </row>
    <row r="2" spans="1:17" x14ac:dyDescent="0.75">
      <c r="A2" s="2" t="s">
        <v>284</v>
      </c>
      <c r="B2" s="10">
        <f>COUNTIF('All papers'!$D$2:$D$90,A2)</f>
        <v>6</v>
      </c>
      <c r="D2" t="str" cm="1">
        <f t="array" ref="D2:D9">_xlfn.UNIQUE('All papers'!E2:E90)</f>
        <v>North America</v>
      </c>
      <c r="E2">
        <f>COUNTIF('All papers'!E$2:E$90,Summary!D2)</f>
        <v>47</v>
      </c>
      <c r="G2" t="str" cm="1">
        <f t="array" ref="G2:G4">_xlfn.UNIQUE('All papers'!J$2:J$90)</f>
        <v>Yes</v>
      </c>
      <c r="H2">
        <f>COUNTIF('All papers'!J$2:J$90,Summary!G2)</f>
        <v>52</v>
      </c>
      <c r="J2" t="str" cm="1">
        <f t="array" ref="J2:J3">_xlfn._xlws.SORT(_xlfn.UNIQUE('All papers'!I$2:I$90))</f>
        <v>No</v>
      </c>
      <c r="K2">
        <f>COUNTIF('All papers'!I$2:I$90,Summary!J2)</f>
        <v>81</v>
      </c>
      <c r="M2" t="str" cm="1">
        <f t="array" ref="M2:M3">_xlfn._xlws.SORT(_xlfn.UNIQUE('All papers'!K$2:K$90))</f>
        <v>No</v>
      </c>
      <c r="N2">
        <f>COUNTIF('All papers'!K$2:K$90,Summary!M2)</f>
        <v>59</v>
      </c>
      <c r="P2" t="str" cm="1">
        <f t="array" ref="P2:P8">_xlfn._xlws.SORT(_xlfn.UNIQUE('All papers'!H$2:H$90))</f>
        <v>common garden</v>
      </c>
      <c r="Q2">
        <f>COUNTIF('All papers'!H$2:H$90,Summary!P2)</f>
        <v>1</v>
      </c>
    </row>
    <row r="3" spans="1:17" x14ac:dyDescent="0.75">
      <c r="A3" s="2" t="s">
        <v>230</v>
      </c>
      <c r="B3" s="10">
        <f>COUNTIF('All papers'!$D$2:$D$90,A3)</f>
        <v>4</v>
      </c>
      <c r="D3" t="str">
        <v>Australia</v>
      </c>
      <c r="E3">
        <f>COUNTIF('All papers'!E$2:E$90,Summary!D3)</f>
        <v>9</v>
      </c>
      <c r="G3" t="str">
        <v>No</v>
      </c>
      <c r="H3">
        <f>COUNTIF('All papers'!J$2:J$90,Summary!G3)</f>
        <v>19</v>
      </c>
      <c r="J3" t="str">
        <v>Yes</v>
      </c>
      <c r="K3">
        <f>COUNTIF('All papers'!I$2:I$90,Summary!J3)</f>
        <v>8</v>
      </c>
      <c r="M3" t="str">
        <v>Yes</v>
      </c>
      <c r="N3">
        <f>COUNTIF('All papers'!K$2:K$90,Summary!M3)</f>
        <v>30</v>
      </c>
      <c r="P3" t="str">
        <v>field study</v>
      </c>
      <c r="Q3">
        <f>COUNTIF('All papers'!H$2:H$90,Summary!P3)</f>
        <v>53</v>
      </c>
    </row>
    <row r="4" spans="1:17" x14ac:dyDescent="0.75">
      <c r="A4" s="2" t="s">
        <v>260</v>
      </c>
      <c r="B4" s="10">
        <f>COUNTIF('All papers'!$D$2:$D$90,A4)</f>
        <v>4</v>
      </c>
      <c r="D4" t="str">
        <v>Asia</v>
      </c>
      <c r="E4">
        <f>COUNTIF('All papers'!E$2:E$90,Summary!D4)</f>
        <v>13</v>
      </c>
      <c r="G4" t="str">
        <v>Mixed</v>
      </c>
      <c r="H4">
        <f>COUNTIF('All papers'!J$2:J$90,Summary!G4)</f>
        <v>18</v>
      </c>
      <c r="J4" s="12" t="s">
        <v>543</v>
      </c>
      <c r="K4" s="12">
        <f>SUM(K2:K3)</f>
        <v>89</v>
      </c>
      <c r="M4" s="12" t="s">
        <v>543</v>
      </c>
      <c r="N4" s="12">
        <f>SUM(N2:N3)</f>
        <v>89</v>
      </c>
      <c r="P4" t="str">
        <v>greenhouse</v>
      </c>
      <c r="Q4">
        <f>COUNTIF('All papers'!H$2:H$90,Summary!P4)</f>
        <v>1</v>
      </c>
    </row>
    <row r="5" spans="1:17" x14ac:dyDescent="0.75">
      <c r="A5" s="2" t="s">
        <v>244</v>
      </c>
      <c r="B5" s="10">
        <f>COUNTIF('All papers'!$D$2:$D$90,A5)</f>
        <v>4</v>
      </c>
      <c r="D5" t="str">
        <v>Africa</v>
      </c>
      <c r="E5">
        <f>COUNTIF('All papers'!E$2:E$90,Summary!D5)</f>
        <v>10</v>
      </c>
      <c r="G5" s="12" t="s">
        <v>543</v>
      </c>
      <c r="H5" s="12">
        <f>SUM(H2:H4)</f>
        <v>89</v>
      </c>
      <c r="P5" t="str">
        <v>meta-analysis</v>
      </c>
      <c r="Q5">
        <f>COUNTIF('All papers'!H$2:H$90,Summary!P5)</f>
        <v>1</v>
      </c>
    </row>
    <row r="6" spans="1:17" x14ac:dyDescent="0.75">
      <c r="A6" s="2" t="s">
        <v>233</v>
      </c>
      <c r="B6" s="10">
        <f>COUNTIF('All papers'!$D$2:$D$90,A6)</f>
        <v>4</v>
      </c>
      <c r="D6" t="str">
        <v>Europe</v>
      </c>
      <c r="E6">
        <f>COUNTIF('All papers'!E$2:E$90,Summary!D6)</f>
        <v>2</v>
      </c>
      <c r="P6" t="str">
        <v>modeling</v>
      </c>
      <c r="Q6">
        <f>COUNTIF('All papers'!H$2:H$90,Summary!P6)</f>
        <v>18</v>
      </c>
    </row>
    <row r="7" spans="1:17" x14ac:dyDescent="0.75">
      <c r="A7" s="2" t="s">
        <v>360</v>
      </c>
      <c r="B7" s="10">
        <f>COUNTIF('All papers'!$D$2:$D$90,A7)</f>
        <v>4</v>
      </c>
      <c r="D7" t="str">
        <v>Global</v>
      </c>
      <c r="E7">
        <f>COUNTIF('All papers'!E$2:E$90,Summary!D7)</f>
        <v>6</v>
      </c>
      <c r="P7" t="str">
        <v>remote sensing</v>
      </c>
      <c r="Q7">
        <f>COUNTIF('All papers'!H$2:H$90,Summary!P7)</f>
        <v>13</v>
      </c>
    </row>
    <row r="8" spans="1:17" x14ac:dyDescent="0.75">
      <c r="A8" s="2" t="s">
        <v>297</v>
      </c>
      <c r="B8" s="10">
        <f>COUNTIF('All papers'!$D$2:$D$90,A8)</f>
        <v>3</v>
      </c>
      <c r="D8" t="str">
        <v>South America</v>
      </c>
      <c r="E8">
        <f>COUNTIF('All papers'!E$2:E$90,Summary!D8)</f>
        <v>1</v>
      </c>
      <c r="P8" t="str">
        <v>remote sensing, field study</v>
      </c>
      <c r="Q8">
        <f>COUNTIF('All papers'!H$2:H$90,Summary!P8)</f>
        <v>2</v>
      </c>
    </row>
    <row r="9" spans="1:17" x14ac:dyDescent="0.75">
      <c r="A9" s="2" t="s">
        <v>266</v>
      </c>
      <c r="B9" s="10">
        <f>COUNTIF('All papers'!$D$2:$D$90,A9)</f>
        <v>3</v>
      </c>
      <c r="D9" t="str">
        <v>NA</v>
      </c>
      <c r="E9">
        <f>COUNTIF('All papers'!E$2:E$90,Summary!D9)</f>
        <v>1</v>
      </c>
      <c r="P9" s="12" t="s">
        <v>543</v>
      </c>
      <c r="Q9" s="12">
        <f>SUM(Q2:Q8)</f>
        <v>89</v>
      </c>
    </row>
    <row r="10" spans="1:17" x14ac:dyDescent="0.75">
      <c r="A10" s="2" t="s">
        <v>250</v>
      </c>
      <c r="B10" s="10">
        <f>COUNTIF('All papers'!$D$2:$D$90,A10)</f>
        <v>3</v>
      </c>
      <c r="D10" s="12" t="s">
        <v>543</v>
      </c>
      <c r="E10" s="12">
        <f>SUM(E2:E9)</f>
        <v>89</v>
      </c>
    </row>
    <row r="11" spans="1:17" x14ac:dyDescent="0.75">
      <c r="A11" s="2" t="s">
        <v>317</v>
      </c>
      <c r="B11" s="10">
        <f>COUNTIF('All papers'!$D$2:$D$90,A11)</f>
        <v>2</v>
      </c>
    </row>
    <row r="12" spans="1:17" x14ac:dyDescent="0.75">
      <c r="A12" s="2" t="s">
        <v>291</v>
      </c>
      <c r="B12" s="10">
        <f>COUNTIF('All papers'!$D$2:$D$90,A12)</f>
        <v>2</v>
      </c>
    </row>
    <row r="13" spans="1:17" x14ac:dyDescent="0.75">
      <c r="A13" s="2" t="s">
        <v>263</v>
      </c>
      <c r="B13" s="10">
        <f>COUNTIF('All papers'!$D$2:$D$90,A13)</f>
        <v>2</v>
      </c>
    </row>
    <row r="14" spans="1:17" x14ac:dyDescent="0.75">
      <c r="A14" s="2" t="s">
        <v>506</v>
      </c>
      <c r="B14" s="10">
        <f>COUNTIF('All papers'!$D$2:$D$90,A14)</f>
        <v>2</v>
      </c>
    </row>
    <row r="15" spans="1:17" x14ac:dyDescent="0.75">
      <c r="A15" s="2" t="s">
        <v>342</v>
      </c>
      <c r="B15" s="10">
        <f>COUNTIF('All papers'!$D$2:$D$90,A15)</f>
        <v>2</v>
      </c>
    </row>
    <row r="16" spans="1:17" x14ac:dyDescent="0.75">
      <c r="A16" s="2" t="s">
        <v>357</v>
      </c>
      <c r="B16" s="10">
        <f>COUNTIF('All papers'!$D$2:$D$90,A16)</f>
        <v>2</v>
      </c>
    </row>
    <row r="17" spans="1:2" x14ac:dyDescent="0.75">
      <c r="A17" s="2" t="s">
        <v>403</v>
      </c>
      <c r="B17" s="10">
        <f>COUNTIF('All papers'!$D$2:$D$90,A17)</f>
        <v>2</v>
      </c>
    </row>
    <row r="18" spans="1:2" x14ac:dyDescent="0.75">
      <c r="A18" s="2" t="s">
        <v>345</v>
      </c>
      <c r="B18" s="10">
        <f>COUNTIF('All papers'!$D$2:$D$90,A18)</f>
        <v>2</v>
      </c>
    </row>
    <row r="19" spans="1:2" x14ac:dyDescent="0.75">
      <c r="A19" s="2" t="s">
        <v>271</v>
      </c>
      <c r="B19" s="10">
        <f>COUNTIF('All papers'!$D$2:$D$90,A19)</f>
        <v>2</v>
      </c>
    </row>
    <row r="20" spans="1:2" x14ac:dyDescent="0.75">
      <c r="A20" s="2" t="s">
        <v>381</v>
      </c>
      <c r="B20" s="10">
        <f>COUNTIF('All papers'!$D$2:$D$90,A20)</f>
        <v>2</v>
      </c>
    </row>
    <row r="21" spans="1:2" x14ac:dyDescent="0.75">
      <c r="A21" s="2" t="s">
        <v>350</v>
      </c>
      <c r="B21" s="10">
        <f>COUNTIF('All papers'!$D$2:$D$90,A21)</f>
        <v>2</v>
      </c>
    </row>
    <row r="22" spans="1:2" x14ac:dyDescent="0.75">
      <c r="A22" s="2" t="s">
        <v>548</v>
      </c>
      <c r="B22" s="10">
        <f>COUNTIF('All papers'!$D$2:$D$90,A22)</f>
        <v>2</v>
      </c>
    </row>
    <row r="23" spans="1:2" x14ac:dyDescent="0.75">
      <c r="A23" s="2" t="s">
        <v>253</v>
      </c>
      <c r="B23" s="10">
        <f>COUNTIF('All papers'!$D$2:$D$90,A23)</f>
        <v>1</v>
      </c>
    </row>
    <row r="24" spans="1:2" x14ac:dyDescent="0.75">
      <c r="A24" s="2" t="s">
        <v>247</v>
      </c>
      <c r="B24" s="10">
        <f>COUNTIF('All papers'!$D$2:$D$90,A24)</f>
        <v>1</v>
      </c>
    </row>
    <row r="25" spans="1:2" x14ac:dyDescent="0.75">
      <c r="A25" s="2" t="s">
        <v>390</v>
      </c>
      <c r="B25" s="10">
        <f>COUNTIF('All papers'!$D$2:$D$90,A25)</f>
        <v>1</v>
      </c>
    </row>
    <row r="26" spans="1:2" x14ac:dyDescent="0.75">
      <c r="A26" s="2" t="s">
        <v>236</v>
      </c>
      <c r="B26" s="10">
        <f>COUNTIF('All papers'!$D$2:$D$90,A26)</f>
        <v>1</v>
      </c>
    </row>
    <row r="27" spans="1:2" x14ac:dyDescent="0.75">
      <c r="A27" s="2" t="s">
        <v>417</v>
      </c>
      <c r="B27" s="10">
        <f>COUNTIF('All papers'!$D$2:$D$90,A27)</f>
        <v>1</v>
      </c>
    </row>
    <row r="28" spans="1:2" x14ac:dyDescent="0.75">
      <c r="A28" s="2" t="s">
        <v>336</v>
      </c>
      <c r="B28" s="10">
        <f>COUNTIF('All papers'!$D$2:$D$90,A28)</f>
        <v>1</v>
      </c>
    </row>
    <row r="29" spans="1:2" x14ac:dyDescent="0.75">
      <c r="A29" s="2" t="s">
        <v>440</v>
      </c>
      <c r="B29" s="10">
        <f>COUNTIF('All papers'!$D$2:$D$90,A29)</f>
        <v>1</v>
      </c>
    </row>
    <row r="30" spans="1:2" x14ac:dyDescent="0.75">
      <c r="A30" s="2" t="s">
        <v>426</v>
      </c>
      <c r="B30" s="10">
        <f>COUNTIF('All papers'!$D$2:$D$90,A30)</f>
        <v>1</v>
      </c>
    </row>
    <row r="31" spans="1:2" x14ac:dyDescent="0.75">
      <c r="A31" s="2" t="s">
        <v>411</v>
      </c>
      <c r="B31" s="10">
        <f>COUNTIF('All papers'!$D$2:$D$90,A31)</f>
        <v>1</v>
      </c>
    </row>
    <row r="32" spans="1:2" ht="29.5" x14ac:dyDescent="0.75">
      <c r="A32" s="2" t="s">
        <v>278</v>
      </c>
      <c r="B32" s="10">
        <f>COUNTIF('All papers'!$D$2:$D$90,A32)</f>
        <v>1</v>
      </c>
    </row>
    <row r="33" spans="1:2" x14ac:dyDescent="0.75">
      <c r="A33" s="2" t="s">
        <v>375</v>
      </c>
      <c r="B33" s="10">
        <f>COUNTIF('All papers'!$D$2:$D$90,A33)</f>
        <v>1</v>
      </c>
    </row>
    <row r="34" spans="1:2" x14ac:dyDescent="0.75">
      <c r="A34" s="2" t="s">
        <v>339</v>
      </c>
      <c r="B34" s="10">
        <f>COUNTIF('All papers'!$D$2:$D$90,A34)</f>
        <v>1</v>
      </c>
    </row>
    <row r="35" spans="1:2" x14ac:dyDescent="0.75">
      <c r="A35" s="2" t="s">
        <v>393</v>
      </c>
      <c r="B35" s="10">
        <f>COUNTIF('All papers'!$D$2:$D$90,A35)</f>
        <v>1</v>
      </c>
    </row>
    <row r="36" spans="1:2" x14ac:dyDescent="0.75">
      <c r="A36" s="2" t="s">
        <v>293</v>
      </c>
      <c r="B36" s="10">
        <f>COUNTIF('All papers'!$D$2:$D$90,A36)</f>
        <v>1</v>
      </c>
    </row>
    <row r="37" spans="1:2" ht="29.5" x14ac:dyDescent="0.75">
      <c r="A37" s="2" t="s">
        <v>414</v>
      </c>
      <c r="B37" s="10">
        <f>COUNTIF('All papers'!$D$2:$D$90,A37)</f>
        <v>1</v>
      </c>
    </row>
    <row r="38" spans="1:2" ht="44.25" x14ac:dyDescent="0.75">
      <c r="A38" s="2" t="s">
        <v>456</v>
      </c>
      <c r="B38" s="10">
        <f>COUNTIF('All papers'!$D$2:$D$90,A38)</f>
        <v>1</v>
      </c>
    </row>
    <row r="39" spans="1:2" x14ac:dyDescent="0.75">
      <c r="A39" s="2" t="s">
        <v>372</v>
      </c>
      <c r="B39" s="10">
        <f>COUNTIF('All papers'!$D$2:$D$90,A39)</f>
        <v>1</v>
      </c>
    </row>
    <row r="40" spans="1:2" x14ac:dyDescent="0.75">
      <c r="A40" s="2" t="s">
        <v>537</v>
      </c>
      <c r="B40" s="10">
        <f>COUNTIF('All papers'!$D$2:$D$90,A40)</f>
        <v>1</v>
      </c>
    </row>
    <row r="41" spans="1:2" ht="29.5" x14ac:dyDescent="0.75">
      <c r="A41" s="2" t="s">
        <v>281</v>
      </c>
      <c r="B41" s="10">
        <f>COUNTIF('All papers'!$D$2:$D$90,A41)</f>
        <v>1</v>
      </c>
    </row>
    <row r="42" spans="1:2" x14ac:dyDescent="0.75">
      <c r="A42" s="2" t="s">
        <v>437</v>
      </c>
      <c r="B42" s="10">
        <f>COUNTIF('All papers'!$D$2:$D$90,A42)</f>
        <v>1</v>
      </c>
    </row>
    <row r="43" spans="1:2" x14ac:dyDescent="0.75">
      <c r="A43" s="2" t="s">
        <v>324</v>
      </c>
      <c r="B43" s="10">
        <f>COUNTIF('All papers'!$D$2:$D$90,A43)</f>
        <v>1</v>
      </c>
    </row>
    <row r="44" spans="1:2" x14ac:dyDescent="0.75">
      <c r="A44" s="2" t="s">
        <v>378</v>
      </c>
      <c r="B44" s="10">
        <f>COUNTIF('All papers'!$D$2:$D$90,A44)</f>
        <v>1</v>
      </c>
    </row>
    <row r="45" spans="1:2" x14ac:dyDescent="0.75">
      <c r="A45" s="2" t="s">
        <v>434</v>
      </c>
      <c r="B45" s="10">
        <f>COUNTIF('All papers'!$D$2:$D$90,A45)</f>
        <v>1</v>
      </c>
    </row>
    <row r="46" spans="1:2" x14ac:dyDescent="0.75">
      <c r="A46" s="2" t="s">
        <v>240</v>
      </c>
      <c r="B46" s="10">
        <f>COUNTIF('All papers'!$D$2:$D$90,A46)</f>
        <v>1</v>
      </c>
    </row>
    <row r="47" spans="1:2" x14ac:dyDescent="0.75">
      <c r="A47" s="2" t="s">
        <v>329</v>
      </c>
      <c r="B47" s="10">
        <f>COUNTIF('All papers'!$D$2:$D$90,A47)</f>
        <v>1</v>
      </c>
    </row>
    <row r="48" spans="1:2" x14ac:dyDescent="0.75">
      <c r="A48" s="2" t="s">
        <v>420</v>
      </c>
      <c r="B48" s="10">
        <f>COUNTIF('All papers'!$D$2:$D$90,A48)</f>
        <v>1</v>
      </c>
    </row>
    <row r="49" spans="1:2" x14ac:dyDescent="0.75">
      <c r="A49" s="2" t="s">
        <v>447</v>
      </c>
      <c r="B49" s="10">
        <f>COUNTIF('All papers'!$D$2:$D$90,A49)</f>
        <v>1</v>
      </c>
    </row>
    <row r="50" spans="1:2" x14ac:dyDescent="0.75">
      <c r="A50" s="2" t="s">
        <v>431</v>
      </c>
      <c r="B50" s="10">
        <f>COUNTIF('All papers'!$D$2:$D$90,A50)</f>
        <v>1</v>
      </c>
    </row>
    <row r="51" spans="1:2" x14ac:dyDescent="0.75">
      <c r="A51" s="2" t="s">
        <v>408</v>
      </c>
      <c r="B51" s="10">
        <f>COUNTIF('All papers'!$D$2:$D$90,A51)</f>
        <v>1</v>
      </c>
    </row>
    <row r="52" spans="1:2" x14ac:dyDescent="0.75">
      <c r="A52" s="2" t="s">
        <v>300</v>
      </c>
      <c r="B52" s="10">
        <f>COUNTIF('All papers'!$D$2:$D$90,A52)</f>
        <v>1</v>
      </c>
    </row>
    <row r="53" spans="1:2" x14ac:dyDescent="0.75">
      <c r="A53" s="5" t="s">
        <v>543</v>
      </c>
      <c r="B53" s="12">
        <f>SUM(B2:B52)</f>
        <v>89</v>
      </c>
    </row>
  </sheetData>
  <sortState xmlns:xlrd2="http://schemas.microsoft.com/office/spreadsheetml/2017/richdata2" ref="A2:B52">
    <sortCondition descending="1" ref="B2:B52"/>
    <sortCondition ref="A2:A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 papers</vt:lpstr>
      <vt:lpstr>All papers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Renne, Rachel</dc:creator>
  <cp:lastModifiedBy>Renne, Rachel</cp:lastModifiedBy>
  <dcterms:created xsi:type="dcterms:W3CDTF">2025-07-21T16:05:41Z</dcterms:created>
  <dcterms:modified xsi:type="dcterms:W3CDTF">2025-08-13T19:01:49Z</dcterms:modified>
</cp:coreProperties>
</file>